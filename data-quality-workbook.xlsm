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Uebungen" sheetId="1" r:id="rId4"/>
    <sheet state="visible" name="Kundendaten" sheetId="2" r:id="rId5"/>
    <sheet state="visible" name="Katalog" sheetId="3" r:id="rId6"/>
  </sheets>
  <definedNames/>
  <calcPr/>
  <extLst>
    <ext uri="GoogleSheetsCustomDataVersion2">
      <go:sheetsCustomData xmlns:go="http://customooxmlschemas.google.com/" r:id="rId7" roundtripDataChecksum="04q1wOtH6Xg8tJi6rPA6Ywn4C8Ic5e8fDd0GRODWDGc="/>
    </ext>
  </extLst>
</workbook>
</file>

<file path=xl/sharedStrings.xml><?xml version="1.0" encoding="utf-8"?>
<sst xmlns="http://schemas.openxmlformats.org/spreadsheetml/2006/main" count="537" uniqueCount="419">
  <si>
    <t>Datenqualitaet: 7-Tage-Lernprojekt</t>
  </si>
  <si>
    <t>Rohdaten</t>
  </si>
  <si>
    <t>Zeilen</t>
  </si>
  <si>
    <t>Ergebnisse nach eigener Ausfuehrung eintragen. Leere Felder = noch nicht geprueft.</t>
  </si>
  <si>
    <t>Regel</t>
  </si>
  <si>
    <t>Pruefung</t>
  </si>
  <si>
    <t>Excel: Zeilen</t>
  </si>
  <si>
    <t>SQL: Zeilen</t>
  </si>
  <si>
    <t>Beispiel / Beobachtung</t>
  </si>
  <si>
    <t>R01</t>
  </si>
  <si>
    <t>Doppelte customer_id</t>
  </si>
  <si>
    <t>5 IDs kommen jeweils zweimal vor.</t>
  </si>
  <si>
    <t>R02</t>
  </si>
  <si>
    <t>E-Mail fehlt oder besteht aus Leerzeichen</t>
  </si>
  <si>
    <t>4 NULL-Werte und 1 Wert mit Leerzeichen.</t>
  </si>
  <si>
    <t>R03</t>
  </si>
  <si>
    <t>Land ist nicht DE, AT oder CH</t>
  </si>
  <si>
    <t>4 nicht erlaubte Laenderwerte und 1 NULL-Wert.</t>
  </si>
  <si>
    <t>R04</t>
  </si>
  <si>
    <t>order_count fehlt oder ist negativ</t>
  </si>
  <si>
    <t>3 negative Werte und 1 NULL-Wert.</t>
  </si>
  <si>
    <t>R05</t>
  </si>
  <si>
    <t>Nicht leere E-Mail ohne @</t>
  </si>
  <si>
    <t>3 nicht leere E-Mail-Werte ohne @.</t>
  </si>
  <si>
    <t>Arbeitsschritte</t>
  </si>
  <si>
    <t>Schritt</t>
  </si>
  <si>
    <t>Ergebnis</t>
  </si>
  <si>
    <t>Status</t>
  </si>
  <si>
    <t>Datum</t>
  </si>
  <si>
    <t>Eigene Notiz</t>
  </si>
  <si>
    <t>1</t>
  </si>
  <si>
    <t>SQL-Abfragen selbst erstellen</t>
  </si>
  <si>
    <t>Erledigt</t>
  </si>
  <si>
    <t>2</t>
  </si>
  <si>
    <t>Excel-Formeln auf alle 100 Zeilen anwenden</t>
  </si>
  <si>
    <t>3</t>
  </si>
  <si>
    <t>Ergebnisse aus Excel und SQL vergleichen</t>
  </si>
  <si>
    <t>4</t>
  </si>
  <si>
    <t>Datenwoerterbuch und Dateikatalog ergaenzen</t>
  </si>
  <si>
    <t>5</t>
  </si>
  <si>
    <t>Bericht und eigene neue Regel schreiben</t>
  </si>
  <si>
    <t>6</t>
  </si>
  <si>
    <t>Projekt erklaeren und erneut ausfuehren</t>
  </si>
  <si>
    <t>Gelb = selbst ausfuellen. Anleitung: README_KO.md. Referenzloesungen erst danach vergleichen.</t>
  </si>
  <si>
    <t>Die Arbeitsmappe ist eine Lernvorlage. Sie dokumentiert noch keine abgeschlossene Eigenleistung.</t>
  </si>
  <si>
    <t>Kundendaten und eigene Excel-Pruefungen</t>
  </si>
  <si>
    <t>Quelle: synthetische Uebungsdaten, 2026-10-05. A:F = Original. G:K = eigene Pruefungen.</t>
  </si>
  <si>
    <t>source_row</t>
  </si>
  <si>
    <t>customer_id</t>
  </si>
  <si>
    <t>company_name</t>
  </si>
  <si>
    <t>email</t>
  </si>
  <si>
    <t>country</t>
  </si>
  <si>
    <t>order_count</t>
  </si>
  <si>
    <t>R01 Duplikat</t>
  </si>
  <si>
    <t>R02 E-Mail fehlt</t>
  </si>
  <si>
    <t>R03 Land ungueltig</t>
  </si>
  <si>
    <t>R04 Anzahl ungueltig</t>
  </si>
  <si>
    <t>R05 E-Mail ohne @</t>
  </si>
  <si>
    <t>C0001</t>
  </si>
  <si>
    <t>Testfirma 001</t>
  </si>
  <si>
    <t>customer001@example.invalid</t>
  </si>
  <si>
    <t>DE</t>
  </si>
  <si>
    <t>C0002</t>
  </si>
  <si>
    <t>Testfirma 002</t>
  </si>
  <si>
    <t>customer002@example.invalid</t>
  </si>
  <si>
    <t>AT</t>
  </si>
  <si>
    <t>C0003</t>
  </si>
  <si>
    <t>Testfirma 003</t>
  </si>
  <si>
    <t>customer003@example.invalid</t>
  </si>
  <si>
    <t>CH</t>
  </si>
  <si>
    <t>C0004</t>
  </si>
  <si>
    <t>Testfirma 004</t>
  </si>
  <si>
    <t>customer004@example.invalid</t>
  </si>
  <si>
    <t>C0005</t>
  </si>
  <si>
    <t>Testfirma 005</t>
  </si>
  <si>
    <t>customer005@example.invalid</t>
  </si>
  <si>
    <t>C0006</t>
  </si>
  <si>
    <t>Testfirma 006</t>
  </si>
  <si>
    <t>customer006@example.invalid</t>
  </si>
  <si>
    <t>C0007</t>
  </si>
  <si>
    <t>Testfirma 007</t>
  </si>
  <si>
    <t>customer007@example.invalid</t>
  </si>
  <si>
    <t>Germany</t>
  </si>
  <si>
    <t>C0008</t>
  </si>
  <si>
    <t>Testfirma 008</t>
  </si>
  <si>
    <t>customer008@example.invalid</t>
  </si>
  <si>
    <t>C0009</t>
  </si>
  <si>
    <t>Testfirma 009</t>
  </si>
  <si>
    <t>customer009@example.invalid</t>
  </si>
  <si>
    <t>C0010</t>
  </si>
  <si>
    <t>Testfirma 010</t>
  </si>
  <si>
    <t>C0011</t>
  </si>
  <si>
    <t>Testfirma 011</t>
  </si>
  <si>
    <t>customer011@example.invalid</t>
  </si>
  <si>
    <t>C0012</t>
  </si>
  <si>
    <t>Testfirma 012</t>
  </si>
  <si>
    <t>customer12.example.invalid</t>
  </si>
  <si>
    <t>C0013</t>
  </si>
  <si>
    <t>Testfirma 013</t>
  </si>
  <si>
    <t>customer013@example.invalid</t>
  </si>
  <si>
    <t>C0014</t>
  </si>
  <si>
    <t>Testfirma 014</t>
  </si>
  <si>
    <t>customer014@example.invalid</t>
  </si>
  <si>
    <t>C0015</t>
  </si>
  <si>
    <t>Testfirma 015</t>
  </si>
  <si>
    <t>customer015@example.invalid</t>
  </si>
  <si>
    <t>C0016</t>
  </si>
  <si>
    <t>Testfirma 016</t>
  </si>
  <si>
    <t>customer016@example.invalid</t>
  </si>
  <si>
    <t>C0017</t>
  </si>
  <si>
    <t>Testfirma 017</t>
  </si>
  <si>
    <t>customer017@example.invalid</t>
  </si>
  <si>
    <t>Deutschland</t>
  </si>
  <si>
    <t>C0018</t>
  </si>
  <si>
    <t>Testfirma 018</t>
  </si>
  <si>
    <t>customer018@example.invalid</t>
  </si>
  <si>
    <t>C0019</t>
  </si>
  <si>
    <t>Testfirma 019</t>
  </si>
  <si>
    <t>customer019@example.invalid</t>
  </si>
  <si>
    <t>C0020</t>
  </si>
  <si>
    <t>Testfirma 020</t>
  </si>
  <si>
    <t>C0021</t>
  </si>
  <si>
    <t>Testfirma 021</t>
  </si>
  <si>
    <t>customer021@example.invalid</t>
  </si>
  <si>
    <t>C0022</t>
  </si>
  <si>
    <t>Testfirma 022</t>
  </si>
  <si>
    <t>customer022@example.invalid</t>
  </si>
  <si>
    <t>C0023</t>
  </si>
  <si>
    <t>Testfirma 023</t>
  </si>
  <si>
    <t>customer023@example.invalid</t>
  </si>
  <si>
    <t>C0024</t>
  </si>
  <si>
    <t>Testfirma 024</t>
  </si>
  <si>
    <t>customer24.example.invalid</t>
  </si>
  <si>
    <t>C0025</t>
  </si>
  <si>
    <t>Testfirma 025</t>
  </si>
  <si>
    <t>customer025@example.invalid</t>
  </si>
  <si>
    <t>C0026</t>
  </si>
  <si>
    <t>Testfirma 026</t>
  </si>
  <si>
    <t>customer026@example.invalid</t>
  </si>
  <si>
    <t>C0027</t>
  </si>
  <si>
    <t>Testfirma 027</t>
  </si>
  <si>
    <t>customer027@example.invalid</t>
  </si>
  <si>
    <t xml:space="preserve"> DE </t>
  </si>
  <si>
    <t>C0028</t>
  </si>
  <si>
    <t>Testfirma 028</t>
  </si>
  <si>
    <t>customer028@example.invalid</t>
  </si>
  <si>
    <t>C0029</t>
  </si>
  <si>
    <t>Testfirma 029</t>
  </si>
  <si>
    <t>customer029@example.invalid</t>
  </si>
  <si>
    <t>C0030</t>
  </si>
  <si>
    <t>Testfirma 030</t>
  </si>
  <si>
    <t xml:space="preserve">   </t>
  </si>
  <si>
    <t>C0031</t>
  </si>
  <si>
    <t>Testfirma 031</t>
  </si>
  <si>
    <t>customer031@example.invalid</t>
  </si>
  <si>
    <t>C0032</t>
  </si>
  <si>
    <t>Testfirma 032</t>
  </si>
  <si>
    <t>customer032@example.invalid</t>
  </si>
  <si>
    <t>C0033</t>
  </si>
  <si>
    <t>Testfirma 033</t>
  </si>
  <si>
    <t>customer033@example.invalid</t>
  </si>
  <si>
    <t>C0034</t>
  </si>
  <si>
    <t>Testfirma 034</t>
  </si>
  <si>
    <t>customer034@example.invalid</t>
  </si>
  <si>
    <t>C0035</t>
  </si>
  <si>
    <t>Testfirma 035</t>
  </si>
  <si>
    <t>customer035@example.invalid</t>
  </si>
  <si>
    <t>C0036</t>
  </si>
  <si>
    <t>Testfirma 036</t>
  </si>
  <si>
    <t>customer36.example.invalid</t>
  </si>
  <si>
    <t>C0037</t>
  </si>
  <si>
    <t>Testfirma 037</t>
  </si>
  <si>
    <t>customer037@example.invalid</t>
  </si>
  <si>
    <t>XX</t>
  </si>
  <si>
    <t>C0038</t>
  </si>
  <si>
    <t>Testfirma 038</t>
  </si>
  <si>
    <t>customer038@example.invalid</t>
  </si>
  <si>
    <t>C0039</t>
  </si>
  <si>
    <t>Testfirma 039</t>
  </si>
  <si>
    <t>customer039@example.invalid</t>
  </si>
  <si>
    <t>C0040</t>
  </si>
  <si>
    <t>Testfirma 040</t>
  </si>
  <si>
    <t>C0041</t>
  </si>
  <si>
    <t>Testfirma 041</t>
  </si>
  <si>
    <t>customer041@example.invalid</t>
  </si>
  <si>
    <t>C0042</t>
  </si>
  <si>
    <t>Testfirma 042</t>
  </si>
  <si>
    <t>customer042@example.invalid</t>
  </si>
  <si>
    <t>C0043</t>
  </si>
  <si>
    <t>Testfirma 043</t>
  </si>
  <si>
    <t>customer043@example.invalid</t>
  </si>
  <si>
    <t>C0044</t>
  </si>
  <si>
    <t>Testfirma 044</t>
  </si>
  <si>
    <t>customer044@example.invalid</t>
  </si>
  <si>
    <t>C0045</t>
  </si>
  <si>
    <t>Testfirma 045</t>
  </si>
  <si>
    <t>customer045@example.invalid</t>
  </si>
  <si>
    <t>C0046</t>
  </si>
  <si>
    <t>Testfirma 046</t>
  </si>
  <si>
    <t>customer046@example.invalid</t>
  </si>
  <si>
    <t>C0047</t>
  </si>
  <si>
    <t>Testfirma 047</t>
  </si>
  <si>
    <t>customer047@example.invalid</t>
  </si>
  <si>
    <t>C0048</t>
  </si>
  <si>
    <t>Testfirma 048</t>
  </si>
  <si>
    <t>customer048@example.invalid</t>
  </si>
  <si>
    <t>C0049</t>
  </si>
  <si>
    <t>Testfirma 049</t>
  </si>
  <si>
    <t>customer049@example.invalid</t>
  </si>
  <si>
    <t>C0050</t>
  </si>
  <si>
    <t>Testfirma 050</t>
  </si>
  <si>
    <t>C0051</t>
  </si>
  <si>
    <t>Testfirma 051</t>
  </si>
  <si>
    <t>customer051@example.invalid</t>
  </si>
  <si>
    <t>C0052</t>
  </si>
  <si>
    <t>Testfirma 052</t>
  </si>
  <si>
    <t>customer052@example.invalid</t>
  </si>
  <si>
    <t>C0053</t>
  </si>
  <si>
    <t>Testfirma 053</t>
  </si>
  <si>
    <t>customer053@example.invalid</t>
  </si>
  <si>
    <t>C0054</t>
  </si>
  <si>
    <t>Testfirma 054</t>
  </si>
  <si>
    <t>customer054@example.invalid</t>
  </si>
  <si>
    <t>C0055</t>
  </si>
  <si>
    <t>Testfirma 055</t>
  </si>
  <si>
    <t>customer055@example.invalid</t>
  </si>
  <si>
    <t>C0056</t>
  </si>
  <si>
    <t>Testfirma 056</t>
  </si>
  <si>
    <t>customer056@example.invalid</t>
  </si>
  <si>
    <t>C0057</t>
  </si>
  <si>
    <t>Testfirma 057</t>
  </si>
  <si>
    <t>customer057@example.invalid</t>
  </si>
  <si>
    <t>C0058</t>
  </si>
  <si>
    <t>Testfirma 058</t>
  </si>
  <si>
    <t>customer058@example.invalid</t>
  </si>
  <si>
    <t>C0059</t>
  </si>
  <si>
    <t>Testfirma 059</t>
  </si>
  <si>
    <t>customer059@example.invalid</t>
  </si>
  <si>
    <t>C0060</t>
  </si>
  <si>
    <t>Testfirma 060</t>
  </si>
  <si>
    <t>customer060@example.invalid</t>
  </si>
  <si>
    <t>C0061</t>
  </si>
  <si>
    <t>Testfirma 061</t>
  </si>
  <si>
    <t>customer061@example.invalid</t>
  </si>
  <si>
    <t>C0062</t>
  </si>
  <si>
    <t>Testfirma 062</t>
  </si>
  <si>
    <t>customer062@example.invalid</t>
  </si>
  <si>
    <t>C0063</t>
  </si>
  <si>
    <t>Testfirma 063</t>
  </si>
  <si>
    <t>customer063@example.invalid</t>
  </si>
  <si>
    <t>C0064</t>
  </si>
  <si>
    <t>Testfirma 064</t>
  </si>
  <si>
    <t>customer064@example.invalid</t>
  </si>
  <si>
    <t>C0065</t>
  </si>
  <si>
    <t>Testfirma 065</t>
  </si>
  <si>
    <t>customer065@example.invalid</t>
  </si>
  <si>
    <t>C0066</t>
  </si>
  <si>
    <t>Testfirma 066</t>
  </si>
  <si>
    <t>customer066@example.invalid</t>
  </si>
  <si>
    <t>C0067</t>
  </si>
  <si>
    <t>Testfirma 067</t>
  </si>
  <si>
    <t>customer067@example.invalid</t>
  </si>
  <si>
    <t>C0068</t>
  </si>
  <si>
    <t>Testfirma 068</t>
  </si>
  <si>
    <t>customer068@example.invalid</t>
  </si>
  <si>
    <t>C0069</t>
  </si>
  <si>
    <t>Testfirma 069</t>
  </si>
  <si>
    <t>customer069@example.invalid</t>
  </si>
  <si>
    <t>C0070</t>
  </si>
  <si>
    <t>Testfirma 070</t>
  </si>
  <si>
    <t>customer070@example.invalid</t>
  </si>
  <si>
    <t>C0071</t>
  </si>
  <si>
    <t>Testfirma 071</t>
  </si>
  <si>
    <t>customer071@example.invalid</t>
  </si>
  <si>
    <t>C0072</t>
  </si>
  <si>
    <t>Testfirma 072</t>
  </si>
  <si>
    <t>customer072@example.invalid</t>
  </si>
  <si>
    <t>C0073</t>
  </si>
  <si>
    <t>Testfirma 073</t>
  </si>
  <si>
    <t>customer073@example.invalid</t>
  </si>
  <si>
    <t>C0074</t>
  </si>
  <si>
    <t>Testfirma 074</t>
  </si>
  <si>
    <t>customer074@example.invalid</t>
  </si>
  <si>
    <t>C0075</t>
  </si>
  <si>
    <t>Testfirma 075</t>
  </si>
  <si>
    <t>customer075@example.invalid</t>
  </si>
  <si>
    <t>C0076</t>
  </si>
  <si>
    <t>Testfirma 076</t>
  </si>
  <si>
    <t>customer076@example.invalid</t>
  </si>
  <si>
    <t>C0077</t>
  </si>
  <si>
    <t>Testfirma 077</t>
  </si>
  <si>
    <t>customer077@example.invalid</t>
  </si>
  <si>
    <t>C0078</t>
  </si>
  <si>
    <t>Testfirma 078</t>
  </si>
  <si>
    <t>customer078@example.invalid</t>
  </si>
  <si>
    <t>C0079</t>
  </si>
  <si>
    <t>Testfirma 079</t>
  </si>
  <si>
    <t>customer079@example.invalid</t>
  </si>
  <si>
    <t>C0080</t>
  </si>
  <si>
    <t>Testfirma 080</t>
  </si>
  <si>
    <t>customer080@example.invalid</t>
  </si>
  <si>
    <t>C0081</t>
  </si>
  <si>
    <t>Testfirma 081</t>
  </si>
  <si>
    <t>customer081@example.invalid</t>
  </si>
  <si>
    <t>C0082</t>
  </si>
  <si>
    <t>Testfirma 082</t>
  </si>
  <si>
    <t>customer082@example.invalid</t>
  </si>
  <si>
    <t>C0083</t>
  </si>
  <si>
    <t>Testfirma 083</t>
  </si>
  <si>
    <t>customer083@example.invalid</t>
  </si>
  <si>
    <t>C0084</t>
  </si>
  <si>
    <t>Testfirma 084</t>
  </si>
  <si>
    <t>customer084@example.invalid</t>
  </si>
  <si>
    <t>C0085</t>
  </si>
  <si>
    <t>Testfirma 085</t>
  </si>
  <si>
    <t>customer085@example.invalid</t>
  </si>
  <si>
    <t>C0086</t>
  </si>
  <si>
    <t>Testfirma 086</t>
  </si>
  <si>
    <t>customer086@example.invalid</t>
  </si>
  <si>
    <t>C0087</t>
  </si>
  <si>
    <t>Testfirma 087</t>
  </si>
  <si>
    <t>customer087@example.invalid</t>
  </si>
  <si>
    <t>C0088</t>
  </si>
  <si>
    <t>Testfirma 088</t>
  </si>
  <si>
    <t>customer088@example.invalid</t>
  </si>
  <si>
    <t>C0089</t>
  </si>
  <si>
    <t>Testfirma 089</t>
  </si>
  <si>
    <t>customer089@example.invalid</t>
  </si>
  <si>
    <t>C0090</t>
  </si>
  <si>
    <t>Testfirma 090</t>
  </si>
  <si>
    <t>customer090@example.invalid</t>
  </si>
  <si>
    <t>C0091</t>
  </si>
  <si>
    <t>Testfirma 091</t>
  </si>
  <si>
    <t>customer091@example.invalid</t>
  </si>
  <si>
    <t>C0092</t>
  </si>
  <si>
    <t>Testfirma 092</t>
  </si>
  <si>
    <t>customer092@example.invalid</t>
  </si>
  <si>
    <t>C0093</t>
  </si>
  <si>
    <t>Testfirma 093</t>
  </si>
  <si>
    <t>customer093@example.invalid</t>
  </si>
  <si>
    <t>C0094</t>
  </si>
  <si>
    <t>Testfirma 094</t>
  </si>
  <si>
    <t>customer094@example.invalid</t>
  </si>
  <si>
    <t>C0095</t>
  </si>
  <si>
    <t>Testfirma 095</t>
  </si>
  <si>
    <t>customer095@example.invalid</t>
  </si>
  <si>
    <t>Testfirma 096</t>
  </si>
  <si>
    <t>customer096@example.invalid</t>
  </si>
  <si>
    <t>Testfirma 097</t>
  </si>
  <si>
    <t>customer097@example.invalid</t>
  </si>
  <si>
    <t>Testfirma 098</t>
  </si>
  <si>
    <t>customer098@example.invalid</t>
  </si>
  <si>
    <t>Testfirma 099</t>
  </si>
  <si>
    <t>customer099@example.invalid</t>
  </si>
  <si>
    <t>Testfirma 100</t>
  </si>
  <si>
    <t>customer100@example.invalid</t>
  </si>
  <si>
    <t>Datenwoerterbuch und Dateikatalog</t>
  </si>
  <si>
    <t>Vorlagen mit Beispielen. Gelbe Felder selbst vervollstaendigen.</t>
  </si>
  <si>
    <t>Feld</t>
  </si>
  <si>
    <t>Datentyp</t>
  </si>
  <si>
    <t>Bedeutung</t>
  </si>
  <si>
    <t>Pflicht?</t>
  </si>
  <si>
    <t>Erlaubte Werte / Regel</t>
  </si>
  <si>
    <t>Fehlerbehandlung</t>
  </si>
  <si>
    <t>INTEGER</t>
  </si>
  <si>
    <t>Stabile Zeilennummer fuer Rueckverfolgung</t>
  </si>
  <si>
    <t>Ja</t>
  </si>
  <si>
    <t>Eindeutig</t>
  </si>
  <si>
    <t>Original beibehalten</t>
  </si>
  <si>
    <t>TEXT</t>
  </si>
  <si>
    <t>Kundenkennung innerhalb dieser Quelle</t>
  </si>
  <si>
    <t>Eine Zeile pro ID</t>
  </si>
  <si>
    <t>Dubletten fachlich klaeren</t>
  </si>
  <si>
    <t>Name der fiktiven Kundenfirma.</t>
  </si>
  <si>
    <t>Nicht NULL, nicht leer und nicht nur Leerzeichen. Siehe R06.</t>
  </si>
  <si>
    <t>Fehlende Namen markieren und 
zur Klaerung dokumentieren.</t>
  </si>
  <si>
    <t>Kontakt-E-Mail der fiktiven Testfirma</t>
  </si>
  <si>
    <t>Nicht leer. @ vorhanden</t>
  </si>
  <si>
    <t>Fehlende Werte klaeren</t>
  </si>
  <si>
    <t>Laenderangabe der fiktiven Kundenfirma.</t>
  </si>
  <si>
    <t>Exakt DE, AT oder CH. Siehe R03.</t>
  </si>
  <si>
    <t>Originalwert behalten. Mapping-Vorschlag separat anzeigen. Unbekannte Werte klaeren.</t>
  </si>
  <si>
    <t>Anzahl der erfassten Bestellungen. Zeitraum nicht angegeben.</t>
  </si>
  <si>
    <t>Ganze Zahl ab 0. NULL und negative Werte sind ungueltig. Siehe R04.</t>
  </si>
  <si>
    <t>Fehlende oder negative Werte markieren und klaeren. Fehlende Werte nicht durch 0 ersetzen.</t>
  </si>
  <si>
    <t>Datei- und Dokumentenverzeichnis</t>
  </si>
  <si>
    <t>Name</t>
  </si>
  <si>
    <t>Typ</t>
  </si>
  <si>
    <t>Relativer Pfad</t>
  </si>
  <si>
    <t>Verantwortlich</t>
  </si>
  <si>
    <t>Version</t>
  </si>
  <si>
    <t>Stand</t>
  </si>
  <si>
    <t>Beschreibung</t>
  </si>
  <si>
    <t>Kunden-Rohdaten</t>
  </si>
  <si>
    <t>CSV</t>
  </si>
  <si>
    <t>data/customers_raw.csv</t>
  </si>
  <si>
    <t>Lernprojekt</t>
  </si>
  <si>
    <t>v1.0</t>
  </si>
  <si>
    <t>100 synthetische Zeilen</t>
  </si>
  <si>
    <t>SQLite-Datenbank</t>
  </si>
  <si>
    <t>SQLite</t>
  </si>
  <si>
    <t>data/data_quality.sqlite</t>
  </si>
  <si>
    <t>Vorbereitete SQLite-Datenbank mit customers_raw und country_mapping.</t>
  </si>
  <si>
    <t>Eigene Abfragen</t>
  </si>
  <si>
    <t>SQL</t>
  </si>
  <si>
    <t>sql/01_my_queries.sql</t>
  </si>
  <si>
    <t>SQL-Pruefungen R01 bis R06 mit Ergebnissen und LEFT JOIN zur Laenderzuordnung.</t>
  </si>
  <si>
    <t>Excel-Arbeitsmappe</t>
  </si>
  <si>
    <t>XLSX</t>
  </si>
  <si>
    <t>data-quality-workbook.xlsx</t>
  </si>
  <si>
    <t>Excel-Pruefungen, Vergleich mit SQL-Ergebnissen und Datenkatalog.</t>
  </si>
  <si>
    <t>Qualitaetsbericht</t>
  </si>
  <si>
    <t>Markdown</t>
  </si>
  <si>
    <t>docs/quality_report_de.md</t>
  </si>
  <si>
    <t>Zusammenfassung der Befunde und vorgeschlagenen Massnahmen; geplant.</t>
  </si>
  <si>
    <t>Projektbeschreibung</t>
  </si>
  <si>
    <t>README.md</t>
  </si>
  <si>
    <t>Projektbeschreibung und Ausfuehrungshinweise; in Bearbeitung.</t>
  </si>
  <si>
    <t>Weitere Projektdateien nach Bedarf ergaenzen. Eigene Versionen und Bearbeitungsdaten dokumentieren.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</si>
</sst>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8">
    <font>
      <sz val="11.0"/>
      <color rgb="FF000000"/>
      <name val="Carlito"/>
      <scheme val="minor"/>
    </font>
    <font>
      <sz val="11.0"/>
      <color rgb="FF243449"/>
      <name val="Arial"/>
    </font>
    <font>
      <b/>
      <sz val="16.0"/>
      <color rgb="FF263F61"/>
      <name val="Arial"/>
    </font>
    <font>
      <b/>
      <sz val="11.0"/>
      <color rgb="FFFFFFFF"/>
      <name val="Arial"/>
    </font>
    <font>
      <color theme="1"/>
      <name val="Carlito"/>
      <scheme val="minor"/>
    </font>
    <font>
      <b/>
      <sz val="11.0"/>
      <color rgb="FF263F61"/>
      <name val="Arial"/>
    </font>
    <font>
      <sz val="11.0"/>
      <color rgb="FF000000"/>
      <name val="Arial"/>
    </font>
    <font>
      <color rgb="FF000000"/>
      <name val="Arial"/>
    </font>
  </fonts>
  <fills count="6">
    <fill>
      <patternFill patternType="none"/>
    </fill>
    <fill>
      <patternFill patternType="lightGray"/>
    </fill>
    <fill>
      <patternFill patternType="solid">
        <fgColor rgb="FF263F61"/>
        <bgColor rgb="FF263F61"/>
      </patternFill>
    </fill>
    <fill>
      <patternFill patternType="solid">
        <fgColor rgb="FFFFF3D6"/>
        <bgColor rgb="FFFFF3D6"/>
      </patternFill>
    </fill>
    <fill>
      <patternFill patternType="solid">
        <fgColor rgb="FFEFF3F8"/>
        <bgColor rgb="FFEFF3F8"/>
      </patternFill>
    </fill>
    <fill>
      <patternFill patternType="solid">
        <fgColor rgb="FFFFF2CC"/>
        <bgColor rgb="FFFFF2CC"/>
      </patternFill>
    </fill>
  </fills>
  <borders count="3">
    <border/>
    <border>
      <bottom style="thin">
        <color rgb="FF263F61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center"/>
    </xf>
    <xf borderId="1" fillId="0" fontId="2" numFmtId="0" xfId="0" applyAlignment="1" applyBorder="1" applyFont="1">
      <alignment vertical="center"/>
    </xf>
    <xf borderId="1" fillId="0" fontId="1" numFmtId="0" xfId="0" applyAlignment="1" applyBorder="1" applyFont="1">
      <alignment vertical="center"/>
    </xf>
    <xf borderId="2" fillId="2" fontId="3" numFmtId="0" xfId="0" applyAlignment="1" applyBorder="1" applyFill="1" applyFont="1">
      <alignment horizontal="center" shrinkToFit="0" vertical="center" wrapText="1"/>
    </xf>
    <xf borderId="0" fillId="0" fontId="4" numFmtId="0" xfId="0" applyAlignment="1" applyFont="1">
      <alignment horizontal="center"/>
    </xf>
    <xf borderId="2" fillId="3" fontId="1" numFmtId="1" xfId="0" applyAlignment="1" applyBorder="1" applyFill="1" applyFont="1" applyNumberFormat="1">
      <alignment horizontal="left" vertical="center"/>
    </xf>
    <xf borderId="2" fillId="3" fontId="1" numFmtId="1" xfId="0" applyAlignment="1" applyBorder="1" applyFill="1" applyFont="1" applyNumberFormat="1">
      <alignment horizontal="left" readingOrder="0" vertical="center"/>
    </xf>
    <xf borderId="2" fillId="3" fontId="1" numFmtId="1" xfId="0" applyAlignment="1" applyBorder="1" applyFill="1" applyFont="1" applyNumberFormat="1">
      <alignment readingOrder="0" vertical="center"/>
    </xf>
    <xf borderId="0" fillId="0" fontId="5" numFmtId="0" xfId="0" applyAlignment="1" applyFont="1">
      <alignment vertical="center"/>
    </xf>
    <xf borderId="2" fillId="3" fontId="1" numFmtId="0" xfId="0" applyAlignment="1" applyBorder="1" applyFill="1" applyFont="1">
      <alignment readingOrder="0" vertical="center"/>
    </xf>
    <xf borderId="2" fillId="3" fontId="1" numFmtId="164" xfId="0" applyAlignment="1" applyBorder="1" applyFill="1" applyFont="1" applyNumberFormat="1">
      <alignment vertical="center"/>
    </xf>
    <xf borderId="2" fillId="3" fontId="1" numFmtId="0" xfId="0" applyAlignment="1" applyBorder="1" applyFill="1" applyFont="1">
      <alignment vertical="center"/>
    </xf>
    <xf borderId="2" fillId="2" fontId="3" numFmtId="0" xfId="0" applyAlignment="1" applyBorder="1" applyFill="1" applyFont="1">
      <alignment horizontal="center" readingOrder="0" shrinkToFit="0" vertical="center" wrapText="1"/>
    </xf>
    <xf borderId="0" fillId="0" fontId="1" numFmtId="1" xfId="0" applyAlignment="1" applyFont="1" applyNumberFormat="1">
      <alignment shrinkToFit="0" vertical="center" wrapText="0"/>
    </xf>
    <xf borderId="0" fillId="0" fontId="1" numFmtId="0" xfId="0" applyAlignment="1" applyFont="1">
      <alignment shrinkToFit="0" vertical="center" wrapText="0"/>
    </xf>
    <xf borderId="2" fillId="4" fontId="1" numFmtId="1" xfId="0" applyAlignment="1" applyBorder="1" applyFill="1" applyFont="1" applyNumberFormat="1">
      <alignment vertical="center"/>
    </xf>
    <xf borderId="2" fillId="3" fontId="1" numFmtId="1" xfId="0" applyAlignment="1" applyBorder="1" applyFill="1" applyFont="1" applyNumberFormat="1">
      <alignment vertical="center"/>
    </xf>
    <xf borderId="0" fillId="0" fontId="6" numFmtId="0" xfId="0" applyAlignment="1" applyFont="1">
      <alignment horizontal="left" shrinkToFit="0" vertical="center" wrapText="1"/>
    </xf>
    <xf borderId="0" fillId="0" fontId="1" numFmtId="0" xfId="0" applyAlignment="1" applyFont="1">
      <alignment horizontal="left" vertical="center"/>
    </xf>
    <xf borderId="0" fillId="0" fontId="4" numFmtId="0" xfId="0" applyAlignment="1" applyFont="1">
      <alignment horizontal="left"/>
    </xf>
    <xf borderId="2" fillId="5" fontId="6" numFmtId="0" xfId="0" applyAlignment="1" applyBorder="1" applyFill="1" applyFont="1">
      <alignment horizontal="left" readingOrder="0" shrinkToFit="0" vertical="center" wrapText="1"/>
    </xf>
    <xf borderId="0" fillId="5" fontId="6" numFmtId="0" xfId="0" applyAlignment="1" applyFill="1" applyFont="1">
      <alignment horizontal="left" shrinkToFit="0" vertical="center" wrapText="1"/>
    </xf>
    <xf borderId="0" fillId="5" fontId="7" numFmtId="0" xfId="0" applyAlignment="1" applyFill="1" applyFont="1">
      <alignment horizontal="left" readingOrder="0" vertical="center"/>
    </xf>
    <xf borderId="0" fillId="0" fontId="1" numFmtId="164" xfId="0" applyAlignment="1" applyFont="1" applyNumberFormat="1">
      <alignment vertical="center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9C2F24"/>
      </font>
      <fill>
        <patternFill patternType="solid">
          <fgColor rgb="FFFBE8E6"/>
          <bgColor rgb="FFFBE8E6"/>
        </patternFill>
      </fill>
      <border/>
    </dxf>
  </dxfs>
  <tableStyles count="1">
    <tableStyle count="4" pivot="0" name="Kundendaten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5:F105" displayName="CustomersRaw" name="CustomersRaw" id="1">
  <tableColumns count="6">
    <tableColumn name="source_row" id="1"/>
    <tableColumn name="customer_id" id="2"/>
    <tableColumn name="company_name" id="3"/>
    <tableColumn name="email" id="4"/>
    <tableColumn name="country" id="5"/>
    <tableColumn name="order_count" id="6"/>
  </tableColumns>
  <tableStyleInfo name="Kundendaten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63F61"/>
    <pageSetUpPr/>
  </sheetPr>
  <sheetViews>
    <sheetView showGridLines="0" workbookViewId="0"/>
  </sheetViews>
  <sheetFormatPr customHeight="1" defaultColWidth="12.63" defaultRowHeight="15.0"/>
  <cols>
    <col customWidth="1" min="1" max="1" width="12.0"/>
    <col customWidth="1" min="2" max="2" width="52.0"/>
    <col customWidth="1" min="3" max="3" width="15.0"/>
    <col customWidth="1" min="4" max="4" width="22.25"/>
    <col customWidth="1" min="5" max="5" width="37.0"/>
    <col customWidth="1" min="6" max="26" width="8.63"/>
  </cols>
  <sheetData>
    <row r="1" ht="24.0" customHeight="1">
      <c r="A1" s="1"/>
      <c r="B1" s="1"/>
      <c r="C1" s="1"/>
      <c r="D1" s="1"/>
      <c r="E1" s="1"/>
    </row>
    <row r="2" ht="24.0" customHeight="1">
      <c r="A2" s="2" t="s">
        <v>0</v>
      </c>
      <c r="B2" s="3"/>
      <c r="C2" s="3"/>
      <c r="D2" s="3"/>
      <c r="E2" s="3"/>
    </row>
    <row r="3" ht="24.0" customHeight="1">
      <c r="A3" s="1"/>
      <c r="B3" s="1"/>
      <c r="C3" s="1"/>
      <c r="D3" s="1"/>
      <c r="E3" s="1"/>
    </row>
    <row r="4" ht="24.0" customHeight="1">
      <c r="A4" s="1" t="s">
        <v>1</v>
      </c>
      <c r="B4" s="1">
        <f>COUNTA(Kundendaten!B6:B105)</f>
        <v>100</v>
      </c>
      <c r="C4" s="1" t="s">
        <v>2</v>
      </c>
      <c r="D4" s="1"/>
      <c r="E4" s="1"/>
    </row>
    <row r="5" ht="24.0" customHeight="1">
      <c r="A5" s="1"/>
      <c r="B5" s="1"/>
      <c r="C5" s="1"/>
      <c r="D5" s="1"/>
      <c r="E5" s="1"/>
    </row>
    <row r="6" ht="24.0" customHeight="1">
      <c r="A6" s="1" t="s">
        <v>3</v>
      </c>
      <c r="B6" s="1"/>
      <c r="C6" s="1"/>
      <c r="D6" s="1"/>
      <c r="E6" s="1"/>
    </row>
    <row r="7" ht="36.0" customHeight="1">
      <c r="A7" s="4" t="s">
        <v>4</v>
      </c>
      <c r="B7" s="4" t="s">
        <v>5</v>
      </c>
      <c r="C7" s="4" t="s">
        <v>6</v>
      </c>
      <c r="D7" s="4" t="s">
        <v>7</v>
      </c>
      <c r="E7" s="4" t="s">
        <v>8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24.0" customHeight="1">
      <c r="A8" s="1" t="s">
        <v>9</v>
      </c>
      <c r="B8" s="1" t="s">
        <v>10</v>
      </c>
      <c r="C8" s="6">
        <f>SUM(Kundendaten!G6:G105)</f>
        <v>10</v>
      </c>
      <c r="D8" s="7">
        <v>10.0</v>
      </c>
      <c r="E8" s="8" t="s">
        <v>11</v>
      </c>
    </row>
    <row r="9" ht="24.0" customHeight="1">
      <c r="A9" s="1" t="s">
        <v>12</v>
      </c>
      <c r="B9" s="1" t="s">
        <v>13</v>
      </c>
      <c r="C9" s="6">
        <f>SUM(Kundendaten!H6:H105)</f>
        <v>5</v>
      </c>
      <c r="D9" s="7">
        <v>5.0</v>
      </c>
      <c r="E9" s="8" t="s">
        <v>14</v>
      </c>
    </row>
    <row r="10" ht="24.0" customHeight="1">
      <c r="A10" s="1" t="s">
        <v>15</v>
      </c>
      <c r="B10" s="1" t="s">
        <v>16</v>
      </c>
      <c r="C10" s="6">
        <f>SUM(Kundendaten!I6:I105)</f>
        <v>5</v>
      </c>
      <c r="D10" s="7">
        <v>5.0</v>
      </c>
      <c r="E10" s="8" t="s">
        <v>17</v>
      </c>
    </row>
    <row r="11" ht="24.0" customHeight="1">
      <c r="A11" s="1" t="s">
        <v>18</v>
      </c>
      <c r="B11" s="1" t="s">
        <v>19</v>
      </c>
      <c r="C11" s="6">
        <f>SUM(Kundendaten!J6:J105)</f>
        <v>4</v>
      </c>
      <c r="D11" s="7">
        <v>4.0</v>
      </c>
      <c r="E11" s="8" t="s">
        <v>20</v>
      </c>
    </row>
    <row r="12" ht="24.0" customHeight="1">
      <c r="A12" s="1" t="s">
        <v>21</v>
      </c>
      <c r="B12" s="1" t="s">
        <v>22</v>
      </c>
      <c r="C12" s="6">
        <f>SUM(Kundendaten!K6:K105)</f>
        <v>3</v>
      </c>
      <c r="D12" s="7">
        <v>3.0</v>
      </c>
      <c r="E12" s="8" t="s">
        <v>23</v>
      </c>
    </row>
    <row r="13" ht="24.0" customHeight="1">
      <c r="A13" s="1"/>
      <c r="B13" s="1"/>
      <c r="C13" s="1"/>
      <c r="D13" s="1"/>
      <c r="E13" s="1"/>
    </row>
    <row r="14" ht="24.0" customHeight="1">
      <c r="A14" s="1"/>
      <c r="B14" s="1"/>
      <c r="C14" s="1"/>
      <c r="D14" s="1"/>
      <c r="E14" s="1"/>
    </row>
    <row r="15" ht="24.0" customHeight="1">
      <c r="A15" s="9" t="s">
        <v>24</v>
      </c>
      <c r="B15" s="1"/>
      <c r="C15" s="1"/>
      <c r="D15" s="1"/>
      <c r="E15" s="1"/>
    </row>
    <row r="16" ht="24.0" customHeight="1">
      <c r="A16" s="1"/>
      <c r="B16" s="1"/>
      <c r="C16" s="1"/>
      <c r="D16" s="1"/>
      <c r="E16" s="1"/>
    </row>
    <row r="17" ht="36.0" customHeight="1">
      <c r="A17" s="4" t="s">
        <v>25</v>
      </c>
      <c r="B17" s="4" t="s">
        <v>26</v>
      </c>
      <c r="C17" s="4" t="s">
        <v>27</v>
      </c>
      <c r="D17" s="4" t="s">
        <v>28</v>
      </c>
      <c r="E17" s="4" t="s">
        <v>29</v>
      </c>
    </row>
    <row r="18" ht="24.0" customHeight="1">
      <c r="A18" s="1" t="s">
        <v>30</v>
      </c>
      <c r="B18" s="1" t="s">
        <v>31</v>
      </c>
      <c r="C18" s="10" t="s">
        <v>32</v>
      </c>
      <c r="D18" s="11"/>
      <c r="E18" s="12"/>
    </row>
    <row r="19" ht="24.0" customHeight="1">
      <c r="A19" s="1" t="s">
        <v>33</v>
      </c>
      <c r="B19" s="1" t="s">
        <v>34</v>
      </c>
      <c r="C19" s="10" t="s">
        <v>32</v>
      </c>
      <c r="D19" s="11"/>
      <c r="E19" s="12"/>
    </row>
    <row r="20" ht="24.0" customHeight="1">
      <c r="A20" s="1" t="s">
        <v>35</v>
      </c>
      <c r="B20" s="1" t="s">
        <v>36</v>
      </c>
      <c r="C20" s="10" t="s">
        <v>32</v>
      </c>
      <c r="D20" s="11"/>
      <c r="E20" s="12"/>
    </row>
    <row r="21" ht="24.0" customHeight="1">
      <c r="A21" s="1" t="s">
        <v>37</v>
      </c>
      <c r="B21" s="1" t="s">
        <v>38</v>
      </c>
      <c r="C21" s="10" t="s">
        <v>32</v>
      </c>
      <c r="D21" s="11"/>
      <c r="E21" s="12"/>
    </row>
    <row r="22" ht="24.0" customHeight="1">
      <c r="A22" s="1" t="s">
        <v>39</v>
      </c>
      <c r="B22" s="1" t="s">
        <v>40</v>
      </c>
      <c r="C22" s="10" t="s">
        <v>32</v>
      </c>
      <c r="D22" s="11"/>
      <c r="E22" s="12"/>
    </row>
    <row r="23" ht="24.0" customHeight="1">
      <c r="A23" s="1" t="s">
        <v>41</v>
      </c>
      <c r="B23" s="1" t="s">
        <v>42</v>
      </c>
      <c r="C23" s="10" t="s">
        <v>32</v>
      </c>
      <c r="D23" s="11"/>
      <c r="E23" s="12"/>
    </row>
    <row r="24" ht="24.0" customHeight="1">
      <c r="A24" s="1"/>
      <c r="B24" s="1"/>
      <c r="C24" s="1"/>
      <c r="D24" s="1"/>
      <c r="E24" s="1"/>
    </row>
    <row r="25" ht="24.0" customHeight="1">
      <c r="A25" s="1" t="s">
        <v>43</v>
      </c>
      <c r="B25" s="1"/>
      <c r="C25" s="1"/>
      <c r="D25" s="1"/>
      <c r="E25" s="1"/>
    </row>
    <row r="26" ht="24.0" customHeight="1">
      <c r="A26" s="1" t="s">
        <v>44</v>
      </c>
      <c r="B26" s="1"/>
      <c r="C26" s="1"/>
      <c r="D26" s="1"/>
      <c r="E26" s="1"/>
    </row>
    <row r="27" ht="24.0" customHeight="1">
      <c r="A27" s="1"/>
      <c r="B27" s="1"/>
      <c r="C27" s="1"/>
      <c r="D27" s="1"/>
      <c r="E27" s="1"/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C18:C23">
      <formula1>"Offen,Begonnen,Erledigt"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2.0" ySplit="5.0" topLeftCell="C6" activePane="bottomRight" state="frozen"/>
      <selection activeCell="C1" sqref="C1" pane="topRight"/>
      <selection activeCell="A6" sqref="A6" pane="bottomLeft"/>
      <selection activeCell="C6" sqref="C6" pane="bottomRight"/>
    </sheetView>
  </sheetViews>
  <sheetFormatPr customHeight="1" defaultColWidth="12.63" defaultRowHeight="15.0"/>
  <cols>
    <col customWidth="1" min="1" max="1" width="12.0"/>
    <col customWidth="1" min="2" max="2" width="16.0"/>
    <col customWidth="1" min="3" max="3" width="24.0"/>
    <col customWidth="1" min="4" max="4" width="39.0"/>
    <col customWidth="1" min="5" max="5" width="21.0"/>
    <col customWidth="1" min="6" max="7" width="16.0"/>
    <col customWidth="1" min="8" max="8" width="17.0"/>
    <col customWidth="1" min="9" max="9" width="19.0"/>
    <col customWidth="1" min="10" max="10" width="20.0"/>
    <col customWidth="1" min="11" max="11" width="18.0"/>
    <col customWidth="1" min="12" max="26" width="8.63"/>
  </cols>
  <sheetData>
    <row r="1" ht="24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ht="24.0" customHeight="1">
      <c r="A2" s="2" t="s">
        <v>45</v>
      </c>
      <c r="B2" s="3"/>
      <c r="C2" s="3"/>
      <c r="D2" s="3"/>
      <c r="E2" s="3"/>
      <c r="F2" s="3"/>
      <c r="G2" s="3"/>
      <c r="H2" s="3"/>
      <c r="I2" s="3"/>
      <c r="J2" s="3"/>
      <c r="K2" s="3"/>
    </row>
    <row r="3" ht="24.0" customHeight="1">
      <c r="A3" s="1" t="s">
        <v>46</v>
      </c>
      <c r="B3" s="1"/>
      <c r="C3" s="1"/>
      <c r="D3" s="1"/>
      <c r="E3" s="1"/>
      <c r="F3" s="1"/>
      <c r="G3" s="1"/>
      <c r="H3" s="1"/>
      <c r="I3" s="1"/>
      <c r="J3" s="1"/>
      <c r="K3" s="1"/>
    </row>
    <row r="4" ht="24.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ht="36.0" customHeight="1">
      <c r="A5" s="13" t="s">
        <v>47</v>
      </c>
      <c r="B5" s="13" t="s">
        <v>48</v>
      </c>
      <c r="C5" s="13" t="s">
        <v>49</v>
      </c>
      <c r="D5" s="13" t="s">
        <v>50</v>
      </c>
      <c r="E5" s="13" t="s">
        <v>51</v>
      </c>
      <c r="F5" s="13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</row>
    <row r="6" ht="24.0" customHeight="1">
      <c r="A6" s="14">
        <v>1.0</v>
      </c>
      <c r="B6" s="15" t="s">
        <v>58</v>
      </c>
      <c r="C6" s="15" t="s">
        <v>59</v>
      </c>
      <c r="D6" s="15" t="s">
        <v>60</v>
      </c>
      <c r="E6" s="15" t="s">
        <v>61</v>
      </c>
      <c r="F6" s="14">
        <v>1.0</v>
      </c>
      <c r="G6" s="16">
        <f t="shared" ref="G6:G105" si="1">IF(COUNTIFS($B$6:$B$105,B6)&gt;1,1,0)</f>
        <v>0</v>
      </c>
      <c r="H6" s="16">
        <f t="shared" ref="H6:H105" si="2">IF(LEN(TRIM(D6))=0,1,0)</f>
        <v>0</v>
      </c>
      <c r="I6" s="17">
        <f t="shared" ref="I6:I105" si="3">IF(OR(EXACT(E6,"DE"),EXACT(E6,"AT"),EXACT(E6,"CH")),0,1)</f>
        <v>0</v>
      </c>
      <c r="J6" s="17">
        <f t="shared" ref="J6:J105" si="4">IF(OR(F6="",F6&lt;0),1,0)</f>
        <v>0</v>
      </c>
      <c r="K6" s="17">
        <f t="shared" ref="K6:K105" si="5">IF(AND(LEN(TRIM(D6))&gt;0,COUNTIFS(D6,"*@*")=0),1,0)</f>
        <v>0</v>
      </c>
    </row>
    <row r="7" ht="24.0" customHeight="1">
      <c r="A7" s="14">
        <v>2.0</v>
      </c>
      <c r="B7" s="15" t="s">
        <v>62</v>
      </c>
      <c r="C7" s="15" t="s">
        <v>63</v>
      </c>
      <c r="D7" s="15" t="s">
        <v>64</v>
      </c>
      <c r="E7" s="15" t="s">
        <v>65</v>
      </c>
      <c r="F7" s="14">
        <v>2.0</v>
      </c>
      <c r="G7" s="16">
        <f t="shared" si="1"/>
        <v>0</v>
      </c>
      <c r="H7" s="16">
        <f t="shared" si="2"/>
        <v>0</v>
      </c>
      <c r="I7" s="17">
        <f t="shared" si="3"/>
        <v>0</v>
      </c>
      <c r="J7" s="17">
        <f t="shared" si="4"/>
        <v>0</v>
      </c>
      <c r="K7" s="17">
        <f t="shared" si="5"/>
        <v>0</v>
      </c>
    </row>
    <row r="8" ht="24.0" customHeight="1">
      <c r="A8" s="14">
        <v>3.0</v>
      </c>
      <c r="B8" s="15" t="s">
        <v>66</v>
      </c>
      <c r="C8" s="15" t="s">
        <v>67</v>
      </c>
      <c r="D8" s="15" t="s">
        <v>68</v>
      </c>
      <c r="E8" s="15" t="s">
        <v>69</v>
      </c>
      <c r="F8" s="14">
        <v>3.0</v>
      </c>
      <c r="G8" s="16">
        <f t="shared" si="1"/>
        <v>0</v>
      </c>
      <c r="H8" s="16">
        <f t="shared" si="2"/>
        <v>0</v>
      </c>
      <c r="I8" s="17">
        <f t="shared" si="3"/>
        <v>0</v>
      </c>
      <c r="J8" s="17">
        <f t="shared" si="4"/>
        <v>0</v>
      </c>
      <c r="K8" s="17">
        <f t="shared" si="5"/>
        <v>0</v>
      </c>
    </row>
    <row r="9" ht="24.0" customHeight="1">
      <c r="A9" s="14">
        <v>4.0</v>
      </c>
      <c r="B9" s="15" t="s">
        <v>70</v>
      </c>
      <c r="C9" s="15" t="s">
        <v>71</v>
      </c>
      <c r="D9" s="15" t="s">
        <v>72</v>
      </c>
      <c r="E9" s="15" t="s">
        <v>61</v>
      </c>
      <c r="F9" s="14">
        <v>4.0</v>
      </c>
      <c r="G9" s="16">
        <f t="shared" si="1"/>
        <v>0</v>
      </c>
      <c r="H9" s="16">
        <f t="shared" si="2"/>
        <v>0</v>
      </c>
      <c r="I9" s="17">
        <f t="shared" si="3"/>
        <v>0</v>
      </c>
      <c r="J9" s="17">
        <f t="shared" si="4"/>
        <v>0</v>
      </c>
      <c r="K9" s="17">
        <f t="shared" si="5"/>
        <v>0</v>
      </c>
    </row>
    <row r="10" ht="24.0" customHeight="1">
      <c r="A10" s="14">
        <v>5.0</v>
      </c>
      <c r="B10" s="15" t="s">
        <v>73</v>
      </c>
      <c r="C10" s="15" t="s">
        <v>74</v>
      </c>
      <c r="D10" s="15" t="s">
        <v>75</v>
      </c>
      <c r="E10" s="15" t="s">
        <v>65</v>
      </c>
      <c r="F10" s="14">
        <v>5.0</v>
      </c>
      <c r="G10" s="16">
        <f t="shared" si="1"/>
        <v>1</v>
      </c>
      <c r="H10" s="16">
        <f t="shared" si="2"/>
        <v>0</v>
      </c>
      <c r="I10" s="17">
        <f t="shared" si="3"/>
        <v>0</v>
      </c>
      <c r="J10" s="17">
        <f t="shared" si="4"/>
        <v>0</v>
      </c>
      <c r="K10" s="17">
        <f t="shared" si="5"/>
        <v>0</v>
      </c>
    </row>
    <row r="11" ht="24.0" customHeight="1">
      <c r="A11" s="14">
        <v>6.0</v>
      </c>
      <c r="B11" s="15" t="s">
        <v>76</v>
      </c>
      <c r="C11" s="15" t="s">
        <v>77</v>
      </c>
      <c r="D11" s="15" t="s">
        <v>78</v>
      </c>
      <c r="E11" s="15" t="s">
        <v>69</v>
      </c>
      <c r="F11" s="14">
        <v>6.0</v>
      </c>
      <c r="G11" s="16">
        <f t="shared" si="1"/>
        <v>0</v>
      </c>
      <c r="H11" s="16">
        <f t="shared" si="2"/>
        <v>0</v>
      </c>
      <c r="I11" s="17">
        <f t="shared" si="3"/>
        <v>0</v>
      </c>
      <c r="J11" s="17">
        <f t="shared" si="4"/>
        <v>0</v>
      </c>
      <c r="K11" s="17">
        <f t="shared" si="5"/>
        <v>0</v>
      </c>
    </row>
    <row r="12" ht="24.0" customHeight="1">
      <c r="A12" s="14">
        <v>7.0</v>
      </c>
      <c r="B12" s="15" t="s">
        <v>79</v>
      </c>
      <c r="C12" s="15" t="s">
        <v>80</v>
      </c>
      <c r="D12" s="15" t="s">
        <v>81</v>
      </c>
      <c r="E12" s="15" t="s">
        <v>82</v>
      </c>
      <c r="F12" s="14">
        <v>7.0</v>
      </c>
      <c r="G12" s="16">
        <f t="shared" si="1"/>
        <v>0</v>
      </c>
      <c r="H12" s="16">
        <f t="shared" si="2"/>
        <v>0</v>
      </c>
      <c r="I12" s="17">
        <f t="shared" si="3"/>
        <v>1</v>
      </c>
      <c r="J12" s="17">
        <f t="shared" si="4"/>
        <v>0</v>
      </c>
      <c r="K12" s="17">
        <f t="shared" si="5"/>
        <v>0</v>
      </c>
    </row>
    <row r="13" ht="24.0" customHeight="1">
      <c r="A13" s="14">
        <v>8.0</v>
      </c>
      <c r="B13" s="15" t="s">
        <v>83</v>
      </c>
      <c r="C13" s="15" t="s">
        <v>84</v>
      </c>
      <c r="D13" s="15" t="s">
        <v>85</v>
      </c>
      <c r="E13" s="15" t="s">
        <v>65</v>
      </c>
      <c r="F13" s="14">
        <v>-1.0</v>
      </c>
      <c r="G13" s="16">
        <f t="shared" si="1"/>
        <v>0</v>
      </c>
      <c r="H13" s="16">
        <f t="shared" si="2"/>
        <v>0</v>
      </c>
      <c r="I13" s="17">
        <f t="shared" si="3"/>
        <v>0</v>
      </c>
      <c r="J13" s="17">
        <f t="shared" si="4"/>
        <v>1</v>
      </c>
      <c r="K13" s="17">
        <f t="shared" si="5"/>
        <v>0</v>
      </c>
    </row>
    <row r="14" ht="24.0" customHeight="1">
      <c r="A14" s="14">
        <v>9.0</v>
      </c>
      <c r="B14" s="15" t="s">
        <v>86</v>
      </c>
      <c r="C14" s="15" t="s">
        <v>87</v>
      </c>
      <c r="D14" s="15" t="s">
        <v>88</v>
      </c>
      <c r="E14" s="15" t="s">
        <v>69</v>
      </c>
      <c r="F14" s="14">
        <v>9.0</v>
      </c>
      <c r="G14" s="16">
        <f t="shared" si="1"/>
        <v>0</v>
      </c>
      <c r="H14" s="16">
        <f t="shared" si="2"/>
        <v>0</v>
      </c>
      <c r="I14" s="17">
        <f t="shared" si="3"/>
        <v>0</v>
      </c>
      <c r="J14" s="17">
        <f t="shared" si="4"/>
        <v>0</v>
      </c>
      <c r="K14" s="17">
        <f t="shared" si="5"/>
        <v>0</v>
      </c>
    </row>
    <row r="15" ht="24.0" customHeight="1">
      <c r="A15" s="14">
        <v>10.0</v>
      </c>
      <c r="B15" s="15" t="s">
        <v>89</v>
      </c>
      <c r="C15" s="15" t="s">
        <v>90</v>
      </c>
      <c r="D15" s="15"/>
      <c r="E15" s="15" t="s">
        <v>61</v>
      </c>
      <c r="F15" s="14">
        <v>0.0</v>
      </c>
      <c r="G15" s="16">
        <f t="shared" si="1"/>
        <v>0</v>
      </c>
      <c r="H15" s="16">
        <f t="shared" si="2"/>
        <v>1</v>
      </c>
      <c r="I15" s="17">
        <f t="shared" si="3"/>
        <v>0</v>
      </c>
      <c r="J15" s="17">
        <f t="shared" si="4"/>
        <v>0</v>
      </c>
      <c r="K15" s="17">
        <f t="shared" si="5"/>
        <v>0</v>
      </c>
    </row>
    <row r="16" ht="24.0" customHeight="1">
      <c r="A16" s="14">
        <v>11.0</v>
      </c>
      <c r="B16" s="15" t="s">
        <v>91</v>
      </c>
      <c r="C16" s="15" t="s">
        <v>92</v>
      </c>
      <c r="D16" s="15" t="s">
        <v>93</v>
      </c>
      <c r="E16" s="15" t="s">
        <v>65</v>
      </c>
      <c r="F16" s="14">
        <v>1.0</v>
      </c>
      <c r="G16" s="16">
        <f t="shared" si="1"/>
        <v>0</v>
      </c>
      <c r="H16" s="16">
        <f t="shared" si="2"/>
        <v>0</v>
      </c>
      <c r="I16" s="17">
        <f t="shared" si="3"/>
        <v>0</v>
      </c>
      <c r="J16" s="17">
        <f t="shared" si="4"/>
        <v>0</v>
      </c>
      <c r="K16" s="17">
        <f t="shared" si="5"/>
        <v>0</v>
      </c>
    </row>
    <row r="17" ht="24.0" customHeight="1">
      <c r="A17" s="14">
        <v>12.0</v>
      </c>
      <c r="B17" s="15" t="s">
        <v>94</v>
      </c>
      <c r="C17" s="15" t="s">
        <v>95</v>
      </c>
      <c r="D17" s="15" t="s">
        <v>96</v>
      </c>
      <c r="E17" s="15" t="s">
        <v>69</v>
      </c>
      <c r="F17" s="14">
        <v>2.0</v>
      </c>
      <c r="G17" s="16">
        <f t="shared" si="1"/>
        <v>0</v>
      </c>
      <c r="H17" s="16">
        <f t="shared" si="2"/>
        <v>0</v>
      </c>
      <c r="I17" s="17">
        <f t="shared" si="3"/>
        <v>0</v>
      </c>
      <c r="J17" s="17">
        <f t="shared" si="4"/>
        <v>0</v>
      </c>
      <c r="K17" s="17">
        <f t="shared" si="5"/>
        <v>1</v>
      </c>
    </row>
    <row r="18" ht="24.0" customHeight="1">
      <c r="A18" s="14">
        <v>13.0</v>
      </c>
      <c r="B18" s="15" t="s">
        <v>97</v>
      </c>
      <c r="C18" s="15" t="s">
        <v>98</v>
      </c>
      <c r="D18" s="15" t="s">
        <v>99</v>
      </c>
      <c r="E18" s="15" t="s">
        <v>61</v>
      </c>
      <c r="F18" s="14">
        <v>3.0</v>
      </c>
      <c r="G18" s="16">
        <f t="shared" si="1"/>
        <v>0</v>
      </c>
      <c r="H18" s="16">
        <f t="shared" si="2"/>
        <v>0</v>
      </c>
      <c r="I18" s="17">
        <f t="shared" si="3"/>
        <v>0</v>
      </c>
      <c r="J18" s="17">
        <f t="shared" si="4"/>
        <v>0</v>
      </c>
      <c r="K18" s="17">
        <f t="shared" si="5"/>
        <v>0</v>
      </c>
    </row>
    <row r="19" ht="24.0" customHeight="1">
      <c r="A19" s="14">
        <v>14.0</v>
      </c>
      <c r="B19" s="15" t="s">
        <v>100</v>
      </c>
      <c r="C19" s="15" t="s">
        <v>101</v>
      </c>
      <c r="D19" s="15" t="s">
        <v>102</v>
      </c>
      <c r="E19" s="15" t="s">
        <v>65</v>
      </c>
      <c r="F19" s="14">
        <v>4.0</v>
      </c>
      <c r="G19" s="16">
        <f t="shared" si="1"/>
        <v>0</v>
      </c>
      <c r="H19" s="16">
        <f t="shared" si="2"/>
        <v>0</v>
      </c>
      <c r="I19" s="17">
        <f t="shared" si="3"/>
        <v>0</v>
      </c>
      <c r="J19" s="17">
        <f t="shared" si="4"/>
        <v>0</v>
      </c>
      <c r="K19" s="17">
        <f t="shared" si="5"/>
        <v>0</v>
      </c>
    </row>
    <row r="20" ht="24.0" customHeight="1">
      <c r="A20" s="14">
        <v>15.0</v>
      </c>
      <c r="B20" s="15" t="s">
        <v>103</v>
      </c>
      <c r="C20" s="15" t="s">
        <v>104</v>
      </c>
      <c r="D20" s="15" t="s">
        <v>105</v>
      </c>
      <c r="E20" s="15" t="s">
        <v>69</v>
      </c>
      <c r="F20" s="14">
        <v>5.0</v>
      </c>
      <c r="G20" s="16">
        <f t="shared" si="1"/>
        <v>1</v>
      </c>
      <c r="H20" s="16">
        <f t="shared" si="2"/>
        <v>0</v>
      </c>
      <c r="I20" s="17">
        <f t="shared" si="3"/>
        <v>0</v>
      </c>
      <c r="J20" s="17">
        <f t="shared" si="4"/>
        <v>0</v>
      </c>
      <c r="K20" s="17">
        <f t="shared" si="5"/>
        <v>0</v>
      </c>
    </row>
    <row r="21" ht="24.0" customHeight="1">
      <c r="A21" s="14">
        <v>16.0</v>
      </c>
      <c r="B21" s="15" t="s">
        <v>106</v>
      </c>
      <c r="C21" s="15" t="s">
        <v>107</v>
      </c>
      <c r="D21" s="15" t="s">
        <v>108</v>
      </c>
      <c r="E21" s="15" t="s">
        <v>61</v>
      </c>
      <c r="F21" s="14">
        <v>6.0</v>
      </c>
      <c r="G21" s="16">
        <f t="shared" si="1"/>
        <v>0</v>
      </c>
      <c r="H21" s="16">
        <f t="shared" si="2"/>
        <v>0</v>
      </c>
      <c r="I21" s="17">
        <f t="shared" si="3"/>
        <v>0</v>
      </c>
      <c r="J21" s="17">
        <f t="shared" si="4"/>
        <v>0</v>
      </c>
      <c r="K21" s="17">
        <f t="shared" si="5"/>
        <v>0</v>
      </c>
    </row>
    <row r="22" ht="24.0" customHeight="1">
      <c r="A22" s="14">
        <v>17.0</v>
      </c>
      <c r="B22" s="15" t="s">
        <v>109</v>
      </c>
      <c r="C22" s="15" t="s">
        <v>110</v>
      </c>
      <c r="D22" s="15" t="s">
        <v>111</v>
      </c>
      <c r="E22" s="15" t="s">
        <v>112</v>
      </c>
      <c r="F22" s="14">
        <v>7.0</v>
      </c>
      <c r="G22" s="16">
        <f t="shared" si="1"/>
        <v>0</v>
      </c>
      <c r="H22" s="16">
        <f t="shared" si="2"/>
        <v>0</v>
      </c>
      <c r="I22" s="17">
        <f t="shared" si="3"/>
        <v>1</v>
      </c>
      <c r="J22" s="17">
        <f t="shared" si="4"/>
        <v>0</v>
      </c>
      <c r="K22" s="17">
        <f t="shared" si="5"/>
        <v>0</v>
      </c>
    </row>
    <row r="23" ht="24.0" customHeight="1">
      <c r="A23" s="14">
        <v>18.0</v>
      </c>
      <c r="B23" s="15" t="s">
        <v>113</v>
      </c>
      <c r="C23" s="15" t="s">
        <v>114</v>
      </c>
      <c r="D23" s="15" t="s">
        <v>115</v>
      </c>
      <c r="E23" s="15" t="s">
        <v>69</v>
      </c>
      <c r="F23" s="14">
        <v>-2.0</v>
      </c>
      <c r="G23" s="16">
        <f t="shared" si="1"/>
        <v>0</v>
      </c>
      <c r="H23" s="16">
        <f t="shared" si="2"/>
        <v>0</v>
      </c>
      <c r="I23" s="17">
        <f t="shared" si="3"/>
        <v>0</v>
      </c>
      <c r="J23" s="17">
        <f t="shared" si="4"/>
        <v>1</v>
      </c>
      <c r="K23" s="17">
        <f t="shared" si="5"/>
        <v>0</v>
      </c>
    </row>
    <row r="24" ht="24.0" customHeight="1">
      <c r="A24" s="14">
        <v>19.0</v>
      </c>
      <c r="B24" s="15" t="s">
        <v>116</v>
      </c>
      <c r="C24" s="15" t="s">
        <v>117</v>
      </c>
      <c r="D24" s="15" t="s">
        <v>118</v>
      </c>
      <c r="E24" s="15" t="s">
        <v>61</v>
      </c>
      <c r="F24" s="14">
        <v>9.0</v>
      </c>
      <c r="G24" s="16">
        <f t="shared" si="1"/>
        <v>0</v>
      </c>
      <c r="H24" s="16">
        <f t="shared" si="2"/>
        <v>0</v>
      </c>
      <c r="I24" s="17">
        <f t="shared" si="3"/>
        <v>0</v>
      </c>
      <c r="J24" s="17">
        <f t="shared" si="4"/>
        <v>0</v>
      </c>
      <c r="K24" s="17">
        <f t="shared" si="5"/>
        <v>0</v>
      </c>
    </row>
    <row r="25" ht="24.0" customHeight="1">
      <c r="A25" s="14">
        <v>20.0</v>
      </c>
      <c r="B25" s="15" t="s">
        <v>119</v>
      </c>
      <c r="C25" s="15" t="s">
        <v>120</v>
      </c>
      <c r="D25" s="15"/>
      <c r="E25" s="15" t="s">
        <v>65</v>
      </c>
      <c r="F25" s="14">
        <v>0.0</v>
      </c>
      <c r="G25" s="16">
        <f t="shared" si="1"/>
        <v>0</v>
      </c>
      <c r="H25" s="16">
        <f t="shared" si="2"/>
        <v>1</v>
      </c>
      <c r="I25" s="17">
        <f t="shared" si="3"/>
        <v>0</v>
      </c>
      <c r="J25" s="17">
        <f t="shared" si="4"/>
        <v>0</v>
      </c>
      <c r="K25" s="17">
        <f t="shared" si="5"/>
        <v>0</v>
      </c>
    </row>
    <row r="26" ht="24.0" customHeight="1">
      <c r="A26" s="14">
        <v>21.0</v>
      </c>
      <c r="B26" s="15" t="s">
        <v>121</v>
      </c>
      <c r="C26" s="15" t="s">
        <v>122</v>
      </c>
      <c r="D26" s="15" t="s">
        <v>123</v>
      </c>
      <c r="E26" s="15" t="s">
        <v>69</v>
      </c>
      <c r="F26" s="14">
        <v>1.0</v>
      </c>
      <c r="G26" s="16">
        <f t="shared" si="1"/>
        <v>0</v>
      </c>
      <c r="H26" s="16">
        <f t="shared" si="2"/>
        <v>0</v>
      </c>
      <c r="I26" s="17">
        <f t="shared" si="3"/>
        <v>0</v>
      </c>
      <c r="J26" s="17">
        <f t="shared" si="4"/>
        <v>0</v>
      </c>
      <c r="K26" s="17">
        <f t="shared" si="5"/>
        <v>0</v>
      </c>
    </row>
    <row r="27" ht="24.0" customHeight="1">
      <c r="A27" s="14">
        <v>22.0</v>
      </c>
      <c r="B27" s="15" t="s">
        <v>124</v>
      </c>
      <c r="C27" s="15" t="s">
        <v>125</v>
      </c>
      <c r="D27" s="15" t="s">
        <v>126</v>
      </c>
      <c r="E27" s="15" t="s">
        <v>61</v>
      </c>
      <c r="F27" s="14">
        <v>2.0</v>
      </c>
      <c r="G27" s="16">
        <f t="shared" si="1"/>
        <v>0</v>
      </c>
      <c r="H27" s="16">
        <f t="shared" si="2"/>
        <v>0</v>
      </c>
      <c r="I27" s="17">
        <f t="shared" si="3"/>
        <v>0</v>
      </c>
      <c r="J27" s="17">
        <f t="shared" si="4"/>
        <v>0</v>
      </c>
      <c r="K27" s="17">
        <f t="shared" si="5"/>
        <v>0</v>
      </c>
    </row>
    <row r="28" ht="24.0" customHeight="1">
      <c r="A28" s="14">
        <v>23.0</v>
      </c>
      <c r="B28" s="15" t="s">
        <v>127</v>
      </c>
      <c r="C28" s="15" t="s">
        <v>128</v>
      </c>
      <c r="D28" s="15" t="s">
        <v>129</v>
      </c>
      <c r="E28" s="15" t="s">
        <v>65</v>
      </c>
      <c r="F28" s="14">
        <v>3.0</v>
      </c>
      <c r="G28" s="16">
        <f t="shared" si="1"/>
        <v>0</v>
      </c>
      <c r="H28" s="16">
        <f t="shared" si="2"/>
        <v>0</v>
      </c>
      <c r="I28" s="17">
        <f t="shared" si="3"/>
        <v>0</v>
      </c>
      <c r="J28" s="17">
        <f t="shared" si="4"/>
        <v>0</v>
      </c>
      <c r="K28" s="17">
        <f t="shared" si="5"/>
        <v>0</v>
      </c>
    </row>
    <row r="29" ht="24.0" customHeight="1">
      <c r="A29" s="14">
        <v>24.0</v>
      </c>
      <c r="B29" s="15" t="s">
        <v>130</v>
      </c>
      <c r="C29" s="15" t="s">
        <v>131</v>
      </c>
      <c r="D29" s="15" t="s">
        <v>132</v>
      </c>
      <c r="E29" s="15" t="s">
        <v>69</v>
      </c>
      <c r="F29" s="14">
        <v>4.0</v>
      </c>
      <c r="G29" s="16">
        <f t="shared" si="1"/>
        <v>0</v>
      </c>
      <c r="H29" s="16">
        <f t="shared" si="2"/>
        <v>0</v>
      </c>
      <c r="I29" s="17">
        <f t="shared" si="3"/>
        <v>0</v>
      </c>
      <c r="J29" s="17">
        <f t="shared" si="4"/>
        <v>0</v>
      </c>
      <c r="K29" s="17">
        <f t="shared" si="5"/>
        <v>1</v>
      </c>
    </row>
    <row r="30" ht="24.0" customHeight="1">
      <c r="A30" s="14">
        <v>25.0</v>
      </c>
      <c r="B30" s="15" t="s">
        <v>133</v>
      </c>
      <c r="C30" s="15" t="s">
        <v>134</v>
      </c>
      <c r="D30" s="15" t="s">
        <v>135</v>
      </c>
      <c r="E30" s="15" t="s">
        <v>61</v>
      </c>
      <c r="F30" s="14">
        <v>5.0</v>
      </c>
      <c r="G30" s="16">
        <f t="shared" si="1"/>
        <v>1</v>
      </c>
      <c r="H30" s="16">
        <f t="shared" si="2"/>
        <v>0</v>
      </c>
      <c r="I30" s="17">
        <f t="shared" si="3"/>
        <v>0</v>
      </c>
      <c r="J30" s="17">
        <f t="shared" si="4"/>
        <v>0</v>
      </c>
      <c r="K30" s="17">
        <f t="shared" si="5"/>
        <v>0</v>
      </c>
    </row>
    <row r="31" ht="24.0" customHeight="1">
      <c r="A31" s="14">
        <v>26.0</v>
      </c>
      <c r="B31" s="15" t="s">
        <v>136</v>
      </c>
      <c r="C31" s="15" t="s">
        <v>137</v>
      </c>
      <c r="D31" s="15" t="s">
        <v>138</v>
      </c>
      <c r="E31" s="15" t="s">
        <v>65</v>
      </c>
      <c r="F31" s="14">
        <v>6.0</v>
      </c>
      <c r="G31" s="16">
        <f t="shared" si="1"/>
        <v>0</v>
      </c>
      <c r="H31" s="16">
        <f t="shared" si="2"/>
        <v>0</v>
      </c>
      <c r="I31" s="17">
        <f t="shared" si="3"/>
        <v>0</v>
      </c>
      <c r="J31" s="17">
        <f t="shared" si="4"/>
        <v>0</v>
      </c>
      <c r="K31" s="17">
        <f t="shared" si="5"/>
        <v>0</v>
      </c>
    </row>
    <row r="32" ht="24.0" customHeight="1">
      <c r="A32" s="14">
        <v>27.0</v>
      </c>
      <c r="B32" s="15" t="s">
        <v>139</v>
      </c>
      <c r="C32" s="15" t="s">
        <v>140</v>
      </c>
      <c r="D32" s="15" t="s">
        <v>141</v>
      </c>
      <c r="E32" s="15" t="s">
        <v>142</v>
      </c>
      <c r="F32" s="14">
        <v>7.0</v>
      </c>
      <c r="G32" s="16">
        <f t="shared" si="1"/>
        <v>0</v>
      </c>
      <c r="H32" s="16">
        <f t="shared" si="2"/>
        <v>0</v>
      </c>
      <c r="I32" s="17">
        <f t="shared" si="3"/>
        <v>1</v>
      </c>
      <c r="J32" s="17">
        <f t="shared" si="4"/>
        <v>0</v>
      </c>
      <c r="K32" s="17">
        <f t="shared" si="5"/>
        <v>0</v>
      </c>
    </row>
    <row r="33" ht="24.0" customHeight="1">
      <c r="A33" s="14">
        <v>28.0</v>
      </c>
      <c r="B33" s="15" t="s">
        <v>143</v>
      </c>
      <c r="C33" s="15" t="s">
        <v>144</v>
      </c>
      <c r="D33" s="15" t="s">
        <v>145</v>
      </c>
      <c r="E33" s="15" t="s">
        <v>61</v>
      </c>
      <c r="F33" s="14">
        <v>-1.0</v>
      </c>
      <c r="G33" s="16">
        <f t="shared" si="1"/>
        <v>0</v>
      </c>
      <c r="H33" s="16">
        <f t="shared" si="2"/>
        <v>0</v>
      </c>
      <c r="I33" s="17">
        <f t="shared" si="3"/>
        <v>0</v>
      </c>
      <c r="J33" s="17">
        <f t="shared" si="4"/>
        <v>1</v>
      </c>
      <c r="K33" s="17">
        <f t="shared" si="5"/>
        <v>0</v>
      </c>
    </row>
    <row r="34" ht="24.0" customHeight="1">
      <c r="A34" s="14">
        <v>29.0</v>
      </c>
      <c r="B34" s="15" t="s">
        <v>146</v>
      </c>
      <c r="C34" s="15" t="s">
        <v>147</v>
      </c>
      <c r="D34" s="15" t="s">
        <v>148</v>
      </c>
      <c r="E34" s="15" t="s">
        <v>65</v>
      </c>
      <c r="F34" s="14">
        <v>9.0</v>
      </c>
      <c r="G34" s="16">
        <f t="shared" si="1"/>
        <v>0</v>
      </c>
      <c r="H34" s="16">
        <f t="shared" si="2"/>
        <v>0</v>
      </c>
      <c r="I34" s="17">
        <f t="shared" si="3"/>
        <v>0</v>
      </c>
      <c r="J34" s="17">
        <f t="shared" si="4"/>
        <v>0</v>
      </c>
      <c r="K34" s="17">
        <f t="shared" si="5"/>
        <v>0</v>
      </c>
    </row>
    <row r="35" ht="24.0" customHeight="1">
      <c r="A35" s="14">
        <v>30.0</v>
      </c>
      <c r="B35" s="15" t="s">
        <v>149</v>
      </c>
      <c r="C35" s="15" t="s">
        <v>150</v>
      </c>
      <c r="D35" s="15" t="s">
        <v>151</v>
      </c>
      <c r="E35" s="15" t="s">
        <v>69</v>
      </c>
      <c r="F35" s="14">
        <v>0.0</v>
      </c>
      <c r="G35" s="16">
        <f t="shared" si="1"/>
        <v>0</v>
      </c>
      <c r="H35" s="16">
        <f t="shared" si="2"/>
        <v>1</v>
      </c>
      <c r="I35" s="17">
        <f t="shared" si="3"/>
        <v>0</v>
      </c>
      <c r="J35" s="17">
        <f t="shared" si="4"/>
        <v>0</v>
      </c>
      <c r="K35" s="17">
        <f t="shared" si="5"/>
        <v>0</v>
      </c>
    </row>
    <row r="36" ht="24.0" customHeight="1">
      <c r="A36" s="14">
        <v>31.0</v>
      </c>
      <c r="B36" s="15" t="s">
        <v>152</v>
      </c>
      <c r="C36" s="15" t="s">
        <v>153</v>
      </c>
      <c r="D36" s="15" t="s">
        <v>154</v>
      </c>
      <c r="E36" s="15" t="s">
        <v>61</v>
      </c>
      <c r="F36" s="14">
        <v>1.0</v>
      </c>
      <c r="G36" s="16">
        <f t="shared" si="1"/>
        <v>0</v>
      </c>
      <c r="H36" s="16">
        <f t="shared" si="2"/>
        <v>0</v>
      </c>
      <c r="I36" s="17">
        <f t="shared" si="3"/>
        <v>0</v>
      </c>
      <c r="J36" s="17">
        <f t="shared" si="4"/>
        <v>0</v>
      </c>
      <c r="K36" s="17">
        <f t="shared" si="5"/>
        <v>0</v>
      </c>
    </row>
    <row r="37" ht="24.0" customHeight="1">
      <c r="A37" s="14">
        <v>32.0</v>
      </c>
      <c r="B37" s="15" t="s">
        <v>155</v>
      </c>
      <c r="C37" s="15" t="s">
        <v>156</v>
      </c>
      <c r="D37" s="15" t="s">
        <v>157</v>
      </c>
      <c r="E37" s="15" t="s">
        <v>65</v>
      </c>
      <c r="F37" s="14">
        <v>2.0</v>
      </c>
      <c r="G37" s="16">
        <f t="shared" si="1"/>
        <v>0</v>
      </c>
      <c r="H37" s="16">
        <f t="shared" si="2"/>
        <v>0</v>
      </c>
      <c r="I37" s="17">
        <f t="shared" si="3"/>
        <v>0</v>
      </c>
      <c r="J37" s="17">
        <f t="shared" si="4"/>
        <v>0</v>
      </c>
      <c r="K37" s="17">
        <f t="shared" si="5"/>
        <v>0</v>
      </c>
    </row>
    <row r="38" ht="24.0" customHeight="1">
      <c r="A38" s="14">
        <v>33.0</v>
      </c>
      <c r="B38" s="15" t="s">
        <v>158</v>
      </c>
      <c r="C38" s="15" t="s">
        <v>159</v>
      </c>
      <c r="D38" s="15" t="s">
        <v>160</v>
      </c>
      <c r="E38" s="15" t="s">
        <v>69</v>
      </c>
      <c r="F38" s="14">
        <v>3.0</v>
      </c>
      <c r="G38" s="16">
        <f t="shared" si="1"/>
        <v>0</v>
      </c>
      <c r="H38" s="16">
        <f t="shared" si="2"/>
        <v>0</v>
      </c>
      <c r="I38" s="17">
        <f t="shared" si="3"/>
        <v>0</v>
      </c>
      <c r="J38" s="17">
        <f t="shared" si="4"/>
        <v>0</v>
      </c>
      <c r="K38" s="17">
        <f t="shared" si="5"/>
        <v>0</v>
      </c>
    </row>
    <row r="39" ht="24.0" customHeight="1">
      <c r="A39" s="14">
        <v>34.0</v>
      </c>
      <c r="B39" s="15" t="s">
        <v>161</v>
      </c>
      <c r="C39" s="15" t="s">
        <v>162</v>
      </c>
      <c r="D39" s="15" t="s">
        <v>163</v>
      </c>
      <c r="E39" s="15" t="s">
        <v>61</v>
      </c>
      <c r="F39" s="14">
        <v>4.0</v>
      </c>
      <c r="G39" s="16">
        <f t="shared" si="1"/>
        <v>0</v>
      </c>
      <c r="H39" s="16">
        <f t="shared" si="2"/>
        <v>0</v>
      </c>
      <c r="I39" s="17">
        <f t="shared" si="3"/>
        <v>0</v>
      </c>
      <c r="J39" s="17">
        <f t="shared" si="4"/>
        <v>0</v>
      </c>
      <c r="K39" s="17">
        <f t="shared" si="5"/>
        <v>0</v>
      </c>
    </row>
    <row r="40" ht="24.0" customHeight="1">
      <c r="A40" s="14">
        <v>35.0</v>
      </c>
      <c r="B40" s="15" t="s">
        <v>164</v>
      </c>
      <c r="C40" s="15" t="s">
        <v>165</v>
      </c>
      <c r="D40" s="15" t="s">
        <v>166</v>
      </c>
      <c r="E40" s="15" t="s">
        <v>65</v>
      </c>
      <c r="F40" s="14">
        <v>5.0</v>
      </c>
      <c r="G40" s="16">
        <f t="shared" si="1"/>
        <v>1</v>
      </c>
      <c r="H40" s="16">
        <f t="shared" si="2"/>
        <v>0</v>
      </c>
      <c r="I40" s="17">
        <f t="shared" si="3"/>
        <v>0</v>
      </c>
      <c r="J40" s="17">
        <f t="shared" si="4"/>
        <v>0</v>
      </c>
      <c r="K40" s="17">
        <f t="shared" si="5"/>
        <v>0</v>
      </c>
    </row>
    <row r="41" ht="24.0" customHeight="1">
      <c r="A41" s="14">
        <v>36.0</v>
      </c>
      <c r="B41" s="15" t="s">
        <v>167</v>
      </c>
      <c r="C41" s="15" t="s">
        <v>168</v>
      </c>
      <c r="D41" s="15" t="s">
        <v>169</v>
      </c>
      <c r="E41" s="15" t="s">
        <v>69</v>
      </c>
      <c r="F41" s="14">
        <v>6.0</v>
      </c>
      <c r="G41" s="16">
        <f t="shared" si="1"/>
        <v>0</v>
      </c>
      <c r="H41" s="16">
        <f t="shared" si="2"/>
        <v>0</v>
      </c>
      <c r="I41" s="17">
        <f t="shared" si="3"/>
        <v>0</v>
      </c>
      <c r="J41" s="17">
        <f t="shared" si="4"/>
        <v>0</v>
      </c>
      <c r="K41" s="17">
        <f t="shared" si="5"/>
        <v>1</v>
      </c>
    </row>
    <row r="42" ht="24.0" customHeight="1">
      <c r="A42" s="14">
        <v>37.0</v>
      </c>
      <c r="B42" s="15" t="s">
        <v>170</v>
      </c>
      <c r="C42" s="15" t="s">
        <v>171</v>
      </c>
      <c r="D42" s="15" t="s">
        <v>172</v>
      </c>
      <c r="E42" s="15" t="s">
        <v>173</v>
      </c>
      <c r="F42" s="14">
        <v>7.0</v>
      </c>
      <c r="G42" s="16">
        <f t="shared" si="1"/>
        <v>0</v>
      </c>
      <c r="H42" s="16">
        <f t="shared" si="2"/>
        <v>0</v>
      </c>
      <c r="I42" s="17">
        <f t="shared" si="3"/>
        <v>1</v>
      </c>
      <c r="J42" s="17">
        <f t="shared" si="4"/>
        <v>0</v>
      </c>
      <c r="K42" s="17">
        <f t="shared" si="5"/>
        <v>0</v>
      </c>
    </row>
    <row r="43" ht="24.0" customHeight="1">
      <c r="A43" s="14">
        <v>38.0</v>
      </c>
      <c r="B43" s="15" t="s">
        <v>174</v>
      </c>
      <c r="C43" s="15" t="s">
        <v>175</v>
      </c>
      <c r="D43" s="15" t="s">
        <v>176</v>
      </c>
      <c r="E43" s="15" t="s">
        <v>65</v>
      </c>
      <c r="F43" s="14"/>
      <c r="G43" s="16">
        <f t="shared" si="1"/>
        <v>0</v>
      </c>
      <c r="H43" s="16">
        <f t="shared" si="2"/>
        <v>0</v>
      </c>
      <c r="I43" s="17">
        <f t="shared" si="3"/>
        <v>0</v>
      </c>
      <c r="J43" s="17">
        <f t="shared" si="4"/>
        <v>1</v>
      </c>
      <c r="K43" s="17">
        <f t="shared" si="5"/>
        <v>0</v>
      </c>
    </row>
    <row r="44" ht="24.0" customHeight="1">
      <c r="A44" s="14">
        <v>39.0</v>
      </c>
      <c r="B44" s="15" t="s">
        <v>177</v>
      </c>
      <c r="C44" s="15" t="s">
        <v>178</v>
      </c>
      <c r="D44" s="15" t="s">
        <v>179</v>
      </c>
      <c r="E44" s="15" t="s">
        <v>69</v>
      </c>
      <c r="F44" s="14">
        <v>9.0</v>
      </c>
      <c r="G44" s="16">
        <f t="shared" si="1"/>
        <v>0</v>
      </c>
      <c r="H44" s="16">
        <f t="shared" si="2"/>
        <v>0</v>
      </c>
      <c r="I44" s="17">
        <f t="shared" si="3"/>
        <v>0</v>
      </c>
      <c r="J44" s="17">
        <f t="shared" si="4"/>
        <v>0</v>
      </c>
      <c r="K44" s="17">
        <f t="shared" si="5"/>
        <v>0</v>
      </c>
    </row>
    <row r="45" ht="24.0" customHeight="1">
      <c r="A45" s="14">
        <v>40.0</v>
      </c>
      <c r="B45" s="15" t="s">
        <v>180</v>
      </c>
      <c r="C45" s="15" t="s">
        <v>181</v>
      </c>
      <c r="D45" s="15"/>
      <c r="E45" s="15" t="s">
        <v>61</v>
      </c>
      <c r="F45" s="14">
        <v>0.0</v>
      </c>
      <c r="G45" s="16">
        <f t="shared" si="1"/>
        <v>0</v>
      </c>
      <c r="H45" s="16">
        <f t="shared" si="2"/>
        <v>1</v>
      </c>
      <c r="I45" s="17">
        <f t="shared" si="3"/>
        <v>0</v>
      </c>
      <c r="J45" s="17">
        <f t="shared" si="4"/>
        <v>0</v>
      </c>
      <c r="K45" s="17">
        <f t="shared" si="5"/>
        <v>0</v>
      </c>
    </row>
    <row r="46" ht="24.0" customHeight="1">
      <c r="A46" s="14">
        <v>41.0</v>
      </c>
      <c r="B46" s="15" t="s">
        <v>182</v>
      </c>
      <c r="C46" s="15" t="s">
        <v>183</v>
      </c>
      <c r="D46" s="15" t="s">
        <v>184</v>
      </c>
      <c r="E46" s="15" t="s">
        <v>65</v>
      </c>
      <c r="F46" s="14">
        <v>1.0</v>
      </c>
      <c r="G46" s="16">
        <f t="shared" si="1"/>
        <v>0</v>
      </c>
      <c r="H46" s="16">
        <f t="shared" si="2"/>
        <v>0</v>
      </c>
      <c r="I46" s="17">
        <f t="shared" si="3"/>
        <v>0</v>
      </c>
      <c r="J46" s="17">
        <f t="shared" si="4"/>
        <v>0</v>
      </c>
      <c r="K46" s="17">
        <f t="shared" si="5"/>
        <v>0</v>
      </c>
    </row>
    <row r="47" ht="24.0" customHeight="1">
      <c r="A47" s="14">
        <v>42.0</v>
      </c>
      <c r="B47" s="15" t="s">
        <v>185</v>
      </c>
      <c r="C47" s="15" t="s">
        <v>186</v>
      </c>
      <c r="D47" s="15" t="s">
        <v>187</v>
      </c>
      <c r="E47" s="15" t="s">
        <v>69</v>
      </c>
      <c r="F47" s="14">
        <v>2.0</v>
      </c>
      <c r="G47" s="16">
        <f t="shared" si="1"/>
        <v>0</v>
      </c>
      <c r="H47" s="16">
        <f t="shared" si="2"/>
        <v>0</v>
      </c>
      <c r="I47" s="17">
        <f t="shared" si="3"/>
        <v>0</v>
      </c>
      <c r="J47" s="17">
        <f t="shared" si="4"/>
        <v>0</v>
      </c>
      <c r="K47" s="17">
        <f t="shared" si="5"/>
        <v>0</v>
      </c>
    </row>
    <row r="48" ht="24.0" customHeight="1">
      <c r="A48" s="14">
        <v>43.0</v>
      </c>
      <c r="B48" s="15" t="s">
        <v>188</v>
      </c>
      <c r="C48" s="15" t="s">
        <v>189</v>
      </c>
      <c r="D48" s="15" t="s">
        <v>190</v>
      </c>
      <c r="E48" s="15" t="s">
        <v>61</v>
      </c>
      <c r="F48" s="14">
        <v>3.0</v>
      </c>
      <c r="G48" s="16">
        <f t="shared" si="1"/>
        <v>0</v>
      </c>
      <c r="H48" s="16">
        <f t="shared" si="2"/>
        <v>0</v>
      </c>
      <c r="I48" s="17">
        <f t="shared" si="3"/>
        <v>0</v>
      </c>
      <c r="J48" s="17">
        <f t="shared" si="4"/>
        <v>0</v>
      </c>
      <c r="K48" s="17">
        <f t="shared" si="5"/>
        <v>0</v>
      </c>
    </row>
    <row r="49" ht="24.0" customHeight="1">
      <c r="A49" s="14">
        <v>44.0</v>
      </c>
      <c r="B49" s="15" t="s">
        <v>191</v>
      </c>
      <c r="C49" s="15" t="s">
        <v>192</v>
      </c>
      <c r="D49" s="15" t="s">
        <v>193</v>
      </c>
      <c r="E49" s="15" t="s">
        <v>65</v>
      </c>
      <c r="F49" s="14">
        <v>4.0</v>
      </c>
      <c r="G49" s="16">
        <f t="shared" si="1"/>
        <v>0</v>
      </c>
      <c r="H49" s="16">
        <f t="shared" si="2"/>
        <v>0</v>
      </c>
      <c r="I49" s="17">
        <f t="shared" si="3"/>
        <v>0</v>
      </c>
      <c r="J49" s="17">
        <f t="shared" si="4"/>
        <v>0</v>
      </c>
      <c r="K49" s="17">
        <f t="shared" si="5"/>
        <v>0</v>
      </c>
    </row>
    <row r="50" ht="24.0" customHeight="1">
      <c r="A50" s="14">
        <v>45.0</v>
      </c>
      <c r="B50" s="15" t="s">
        <v>194</v>
      </c>
      <c r="C50" s="15" t="s">
        <v>195</v>
      </c>
      <c r="D50" s="15" t="s">
        <v>196</v>
      </c>
      <c r="E50" s="15" t="s">
        <v>69</v>
      </c>
      <c r="F50" s="14">
        <v>5.0</v>
      </c>
      <c r="G50" s="16">
        <f t="shared" si="1"/>
        <v>1</v>
      </c>
      <c r="H50" s="16">
        <f t="shared" si="2"/>
        <v>0</v>
      </c>
      <c r="I50" s="17">
        <f t="shared" si="3"/>
        <v>0</v>
      </c>
      <c r="J50" s="17">
        <f t="shared" si="4"/>
        <v>0</v>
      </c>
      <c r="K50" s="17">
        <f t="shared" si="5"/>
        <v>0</v>
      </c>
    </row>
    <row r="51" ht="24.0" customHeight="1">
      <c r="A51" s="14">
        <v>46.0</v>
      </c>
      <c r="B51" s="15" t="s">
        <v>197</v>
      </c>
      <c r="C51" s="15" t="s">
        <v>198</v>
      </c>
      <c r="D51" s="15" t="s">
        <v>199</v>
      </c>
      <c r="E51" s="15" t="s">
        <v>61</v>
      </c>
      <c r="F51" s="14">
        <v>6.0</v>
      </c>
      <c r="G51" s="16">
        <f t="shared" si="1"/>
        <v>0</v>
      </c>
      <c r="H51" s="16">
        <f t="shared" si="2"/>
        <v>0</v>
      </c>
      <c r="I51" s="17">
        <f t="shared" si="3"/>
        <v>0</v>
      </c>
      <c r="J51" s="17">
        <f t="shared" si="4"/>
        <v>0</v>
      </c>
      <c r="K51" s="17">
        <f t="shared" si="5"/>
        <v>0</v>
      </c>
    </row>
    <row r="52" ht="24.0" customHeight="1">
      <c r="A52" s="14">
        <v>47.0</v>
      </c>
      <c r="B52" s="15" t="s">
        <v>200</v>
      </c>
      <c r="C52" s="15" t="s">
        <v>201</v>
      </c>
      <c r="D52" s="15" t="s">
        <v>202</v>
      </c>
      <c r="E52" s="15"/>
      <c r="F52" s="14">
        <v>7.0</v>
      </c>
      <c r="G52" s="16">
        <f t="shared" si="1"/>
        <v>0</v>
      </c>
      <c r="H52" s="16">
        <f t="shared" si="2"/>
        <v>0</v>
      </c>
      <c r="I52" s="17">
        <f t="shared" si="3"/>
        <v>1</v>
      </c>
      <c r="J52" s="17">
        <f t="shared" si="4"/>
        <v>0</v>
      </c>
      <c r="K52" s="17">
        <f t="shared" si="5"/>
        <v>0</v>
      </c>
    </row>
    <row r="53" ht="24.0" customHeight="1">
      <c r="A53" s="14">
        <v>48.0</v>
      </c>
      <c r="B53" s="15" t="s">
        <v>203</v>
      </c>
      <c r="C53" s="15" t="s">
        <v>204</v>
      </c>
      <c r="D53" s="15" t="s">
        <v>205</v>
      </c>
      <c r="E53" s="15" t="s">
        <v>69</v>
      </c>
      <c r="F53" s="14">
        <v>8.0</v>
      </c>
      <c r="G53" s="16">
        <f t="shared" si="1"/>
        <v>0</v>
      </c>
      <c r="H53" s="16">
        <f t="shared" si="2"/>
        <v>0</v>
      </c>
      <c r="I53" s="17">
        <f t="shared" si="3"/>
        <v>0</v>
      </c>
      <c r="J53" s="17">
        <f t="shared" si="4"/>
        <v>0</v>
      </c>
      <c r="K53" s="17">
        <f t="shared" si="5"/>
        <v>0</v>
      </c>
    </row>
    <row r="54" ht="24.0" customHeight="1">
      <c r="A54" s="14">
        <v>49.0</v>
      </c>
      <c r="B54" s="15" t="s">
        <v>206</v>
      </c>
      <c r="C54" s="15" t="s">
        <v>207</v>
      </c>
      <c r="D54" s="15" t="s">
        <v>208</v>
      </c>
      <c r="E54" s="15" t="s">
        <v>61</v>
      </c>
      <c r="F54" s="14">
        <v>9.0</v>
      </c>
      <c r="G54" s="16">
        <f t="shared" si="1"/>
        <v>0</v>
      </c>
      <c r="H54" s="16">
        <f t="shared" si="2"/>
        <v>0</v>
      </c>
      <c r="I54" s="17">
        <f t="shared" si="3"/>
        <v>0</v>
      </c>
      <c r="J54" s="17">
        <f t="shared" si="4"/>
        <v>0</v>
      </c>
      <c r="K54" s="17">
        <f t="shared" si="5"/>
        <v>0</v>
      </c>
    </row>
    <row r="55" ht="24.0" customHeight="1">
      <c r="A55" s="14">
        <v>50.0</v>
      </c>
      <c r="B55" s="15" t="s">
        <v>209</v>
      </c>
      <c r="C55" s="15" t="s">
        <v>210</v>
      </c>
      <c r="D55" s="15"/>
      <c r="E55" s="15" t="s">
        <v>65</v>
      </c>
      <c r="F55" s="14">
        <v>0.0</v>
      </c>
      <c r="G55" s="16">
        <f t="shared" si="1"/>
        <v>0</v>
      </c>
      <c r="H55" s="16">
        <f t="shared" si="2"/>
        <v>1</v>
      </c>
      <c r="I55" s="17">
        <f t="shared" si="3"/>
        <v>0</v>
      </c>
      <c r="J55" s="17">
        <f t="shared" si="4"/>
        <v>0</v>
      </c>
      <c r="K55" s="17">
        <f t="shared" si="5"/>
        <v>0</v>
      </c>
    </row>
    <row r="56" ht="24.0" customHeight="1">
      <c r="A56" s="14">
        <v>51.0</v>
      </c>
      <c r="B56" s="15" t="s">
        <v>211</v>
      </c>
      <c r="C56" s="15" t="s">
        <v>212</v>
      </c>
      <c r="D56" s="15" t="s">
        <v>213</v>
      </c>
      <c r="E56" s="15" t="s">
        <v>69</v>
      </c>
      <c r="F56" s="14">
        <v>1.0</v>
      </c>
      <c r="G56" s="16">
        <f t="shared" si="1"/>
        <v>0</v>
      </c>
      <c r="H56" s="16">
        <f t="shared" si="2"/>
        <v>0</v>
      </c>
      <c r="I56" s="17">
        <f t="shared" si="3"/>
        <v>0</v>
      </c>
      <c r="J56" s="17">
        <f t="shared" si="4"/>
        <v>0</v>
      </c>
      <c r="K56" s="17">
        <f t="shared" si="5"/>
        <v>0</v>
      </c>
    </row>
    <row r="57" ht="24.0" customHeight="1">
      <c r="A57" s="14">
        <v>52.0</v>
      </c>
      <c r="B57" s="15" t="s">
        <v>214</v>
      </c>
      <c r="C57" s="15" t="s">
        <v>215</v>
      </c>
      <c r="D57" s="15" t="s">
        <v>216</v>
      </c>
      <c r="E57" s="15" t="s">
        <v>61</v>
      </c>
      <c r="F57" s="14">
        <v>2.0</v>
      </c>
      <c r="G57" s="16">
        <f t="shared" si="1"/>
        <v>0</v>
      </c>
      <c r="H57" s="16">
        <f t="shared" si="2"/>
        <v>0</v>
      </c>
      <c r="I57" s="17">
        <f t="shared" si="3"/>
        <v>0</v>
      </c>
      <c r="J57" s="17">
        <f t="shared" si="4"/>
        <v>0</v>
      </c>
      <c r="K57" s="17">
        <f t="shared" si="5"/>
        <v>0</v>
      </c>
    </row>
    <row r="58" ht="24.0" customHeight="1">
      <c r="A58" s="14">
        <v>53.0</v>
      </c>
      <c r="B58" s="15" t="s">
        <v>217</v>
      </c>
      <c r="C58" s="15" t="s">
        <v>218</v>
      </c>
      <c r="D58" s="15" t="s">
        <v>219</v>
      </c>
      <c r="E58" s="15" t="s">
        <v>65</v>
      </c>
      <c r="F58" s="14">
        <v>3.0</v>
      </c>
      <c r="G58" s="16">
        <f t="shared" si="1"/>
        <v>0</v>
      </c>
      <c r="H58" s="16">
        <f t="shared" si="2"/>
        <v>0</v>
      </c>
      <c r="I58" s="17">
        <f t="shared" si="3"/>
        <v>0</v>
      </c>
      <c r="J58" s="17">
        <f t="shared" si="4"/>
        <v>0</v>
      </c>
      <c r="K58" s="17">
        <f t="shared" si="5"/>
        <v>0</v>
      </c>
    </row>
    <row r="59" ht="24.0" customHeight="1">
      <c r="A59" s="14">
        <v>54.0</v>
      </c>
      <c r="B59" s="15" t="s">
        <v>220</v>
      </c>
      <c r="C59" s="15" t="s">
        <v>221</v>
      </c>
      <c r="D59" s="15" t="s">
        <v>222</v>
      </c>
      <c r="E59" s="15" t="s">
        <v>69</v>
      </c>
      <c r="F59" s="14">
        <v>4.0</v>
      </c>
      <c r="G59" s="16">
        <f t="shared" si="1"/>
        <v>0</v>
      </c>
      <c r="H59" s="16">
        <f t="shared" si="2"/>
        <v>0</v>
      </c>
      <c r="I59" s="17">
        <f t="shared" si="3"/>
        <v>0</v>
      </c>
      <c r="J59" s="17">
        <f t="shared" si="4"/>
        <v>0</v>
      </c>
      <c r="K59" s="17">
        <f t="shared" si="5"/>
        <v>0</v>
      </c>
    </row>
    <row r="60" ht="24.0" customHeight="1">
      <c r="A60" s="14">
        <v>55.0</v>
      </c>
      <c r="B60" s="15" t="s">
        <v>223</v>
      </c>
      <c r="C60" s="15" t="s">
        <v>224</v>
      </c>
      <c r="D60" s="15" t="s">
        <v>225</v>
      </c>
      <c r="E60" s="15" t="s">
        <v>61</v>
      </c>
      <c r="F60" s="14">
        <v>5.0</v>
      </c>
      <c r="G60" s="16">
        <f t="shared" si="1"/>
        <v>0</v>
      </c>
      <c r="H60" s="16">
        <f t="shared" si="2"/>
        <v>0</v>
      </c>
      <c r="I60" s="17">
        <f t="shared" si="3"/>
        <v>0</v>
      </c>
      <c r="J60" s="17">
        <f t="shared" si="4"/>
        <v>0</v>
      </c>
      <c r="K60" s="17">
        <f t="shared" si="5"/>
        <v>0</v>
      </c>
    </row>
    <row r="61" ht="24.0" customHeight="1">
      <c r="A61" s="14">
        <v>56.0</v>
      </c>
      <c r="B61" s="15" t="s">
        <v>226</v>
      </c>
      <c r="C61" s="15" t="s">
        <v>227</v>
      </c>
      <c r="D61" s="15" t="s">
        <v>228</v>
      </c>
      <c r="E61" s="15" t="s">
        <v>65</v>
      </c>
      <c r="F61" s="14">
        <v>6.0</v>
      </c>
      <c r="G61" s="16">
        <f t="shared" si="1"/>
        <v>0</v>
      </c>
      <c r="H61" s="16">
        <f t="shared" si="2"/>
        <v>0</v>
      </c>
      <c r="I61" s="17">
        <f t="shared" si="3"/>
        <v>0</v>
      </c>
      <c r="J61" s="17">
        <f t="shared" si="4"/>
        <v>0</v>
      </c>
      <c r="K61" s="17">
        <f t="shared" si="5"/>
        <v>0</v>
      </c>
    </row>
    <row r="62" ht="24.0" customHeight="1">
      <c r="A62" s="14">
        <v>57.0</v>
      </c>
      <c r="B62" s="15" t="s">
        <v>229</v>
      </c>
      <c r="C62" s="15" t="s">
        <v>230</v>
      </c>
      <c r="D62" s="15" t="s">
        <v>231</v>
      </c>
      <c r="E62" s="15" t="s">
        <v>69</v>
      </c>
      <c r="F62" s="14">
        <v>7.0</v>
      </c>
      <c r="G62" s="16">
        <f t="shared" si="1"/>
        <v>0</v>
      </c>
      <c r="H62" s="16">
        <f t="shared" si="2"/>
        <v>0</v>
      </c>
      <c r="I62" s="17">
        <f t="shared" si="3"/>
        <v>0</v>
      </c>
      <c r="J62" s="17">
        <f t="shared" si="4"/>
        <v>0</v>
      </c>
      <c r="K62" s="17">
        <f t="shared" si="5"/>
        <v>0</v>
      </c>
    </row>
    <row r="63" ht="24.0" customHeight="1">
      <c r="A63" s="14">
        <v>58.0</v>
      </c>
      <c r="B63" s="15" t="s">
        <v>232</v>
      </c>
      <c r="C63" s="15" t="s">
        <v>233</v>
      </c>
      <c r="D63" s="15" t="s">
        <v>234</v>
      </c>
      <c r="E63" s="15" t="s">
        <v>61</v>
      </c>
      <c r="F63" s="14">
        <v>8.0</v>
      </c>
      <c r="G63" s="16">
        <f t="shared" si="1"/>
        <v>0</v>
      </c>
      <c r="H63" s="16">
        <f t="shared" si="2"/>
        <v>0</v>
      </c>
      <c r="I63" s="17">
        <f t="shared" si="3"/>
        <v>0</v>
      </c>
      <c r="J63" s="17">
        <f t="shared" si="4"/>
        <v>0</v>
      </c>
      <c r="K63" s="17">
        <f t="shared" si="5"/>
        <v>0</v>
      </c>
    </row>
    <row r="64" ht="24.0" customHeight="1">
      <c r="A64" s="14">
        <v>59.0</v>
      </c>
      <c r="B64" s="15" t="s">
        <v>235</v>
      </c>
      <c r="C64" s="15" t="s">
        <v>236</v>
      </c>
      <c r="D64" s="15" t="s">
        <v>237</v>
      </c>
      <c r="E64" s="15" t="s">
        <v>65</v>
      </c>
      <c r="F64" s="14">
        <v>9.0</v>
      </c>
      <c r="G64" s="16">
        <f t="shared" si="1"/>
        <v>0</v>
      </c>
      <c r="H64" s="16">
        <f t="shared" si="2"/>
        <v>0</v>
      </c>
      <c r="I64" s="17">
        <f t="shared" si="3"/>
        <v>0</v>
      </c>
      <c r="J64" s="17">
        <f t="shared" si="4"/>
        <v>0</v>
      </c>
      <c r="K64" s="17">
        <f t="shared" si="5"/>
        <v>0</v>
      </c>
    </row>
    <row r="65" ht="24.0" customHeight="1">
      <c r="A65" s="14">
        <v>60.0</v>
      </c>
      <c r="B65" s="15" t="s">
        <v>238</v>
      </c>
      <c r="C65" s="15" t="s">
        <v>239</v>
      </c>
      <c r="D65" s="15" t="s">
        <v>240</v>
      </c>
      <c r="E65" s="15" t="s">
        <v>69</v>
      </c>
      <c r="F65" s="14">
        <v>0.0</v>
      </c>
      <c r="G65" s="16">
        <f t="shared" si="1"/>
        <v>0</v>
      </c>
      <c r="H65" s="16">
        <f t="shared" si="2"/>
        <v>0</v>
      </c>
      <c r="I65" s="17">
        <f t="shared" si="3"/>
        <v>0</v>
      </c>
      <c r="J65" s="17">
        <f t="shared" si="4"/>
        <v>0</v>
      </c>
      <c r="K65" s="17">
        <f t="shared" si="5"/>
        <v>0</v>
      </c>
    </row>
    <row r="66" ht="24.0" customHeight="1">
      <c r="A66" s="14">
        <v>61.0</v>
      </c>
      <c r="B66" s="15" t="s">
        <v>241</v>
      </c>
      <c r="C66" s="15" t="s">
        <v>242</v>
      </c>
      <c r="D66" s="15" t="s">
        <v>243</v>
      </c>
      <c r="E66" s="15" t="s">
        <v>61</v>
      </c>
      <c r="F66" s="14">
        <v>1.0</v>
      </c>
      <c r="G66" s="16">
        <f t="shared" si="1"/>
        <v>0</v>
      </c>
      <c r="H66" s="16">
        <f t="shared" si="2"/>
        <v>0</v>
      </c>
      <c r="I66" s="17">
        <f t="shared" si="3"/>
        <v>0</v>
      </c>
      <c r="J66" s="17">
        <f t="shared" si="4"/>
        <v>0</v>
      </c>
      <c r="K66" s="17">
        <f t="shared" si="5"/>
        <v>0</v>
      </c>
    </row>
    <row r="67" ht="24.0" customHeight="1">
      <c r="A67" s="14">
        <v>62.0</v>
      </c>
      <c r="B67" s="15" t="s">
        <v>244</v>
      </c>
      <c r="C67" s="15" t="s">
        <v>245</v>
      </c>
      <c r="D67" s="15" t="s">
        <v>246</v>
      </c>
      <c r="E67" s="15" t="s">
        <v>65</v>
      </c>
      <c r="F67" s="14">
        <v>2.0</v>
      </c>
      <c r="G67" s="16">
        <f t="shared" si="1"/>
        <v>0</v>
      </c>
      <c r="H67" s="16">
        <f t="shared" si="2"/>
        <v>0</v>
      </c>
      <c r="I67" s="17">
        <f t="shared" si="3"/>
        <v>0</v>
      </c>
      <c r="J67" s="17">
        <f t="shared" si="4"/>
        <v>0</v>
      </c>
      <c r="K67" s="17">
        <f t="shared" si="5"/>
        <v>0</v>
      </c>
    </row>
    <row r="68" ht="24.0" customHeight="1">
      <c r="A68" s="14">
        <v>63.0</v>
      </c>
      <c r="B68" s="15" t="s">
        <v>247</v>
      </c>
      <c r="C68" s="15" t="s">
        <v>248</v>
      </c>
      <c r="D68" s="15" t="s">
        <v>249</v>
      </c>
      <c r="E68" s="15" t="s">
        <v>69</v>
      </c>
      <c r="F68" s="14">
        <v>3.0</v>
      </c>
      <c r="G68" s="16">
        <f t="shared" si="1"/>
        <v>0</v>
      </c>
      <c r="H68" s="16">
        <f t="shared" si="2"/>
        <v>0</v>
      </c>
      <c r="I68" s="17">
        <f t="shared" si="3"/>
        <v>0</v>
      </c>
      <c r="J68" s="17">
        <f t="shared" si="4"/>
        <v>0</v>
      </c>
      <c r="K68" s="17">
        <f t="shared" si="5"/>
        <v>0</v>
      </c>
    </row>
    <row r="69" ht="24.0" customHeight="1">
      <c r="A69" s="14">
        <v>64.0</v>
      </c>
      <c r="B69" s="15" t="s">
        <v>250</v>
      </c>
      <c r="C69" s="15" t="s">
        <v>251</v>
      </c>
      <c r="D69" s="15" t="s">
        <v>252</v>
      </c>
      <c r="E69" s="15" t="s">
        <v>61</v>
      </c>
      <c r="F69" s="14">
        <v>4.0</v>
      </c>
      <c r="G69" s="16">
        <f t="shared" si="1"/>
        <v>0</v>
      </c>
      <c r="H69" s="16">
        <f t="shared" si="2"/>
        <v>0</v>
      </c>
      <c r="I69" s="17">
        <f t="shared" si="3"/>
        <v>0</v>
      </c>
      <c r="J69" s="17">
        <f t="shared" si="4"/>
        <v>0</v>
      </c>
      <c r="K69" s="17">
        <f t="shared" si="5"/>
        <v>0</v>
      </c>
    </row>
    <row r="70" ht="24.0" customHeight="1">
      <c r="A70" s="14">
        <v>65.0</v>
      </c>
      <c r="B70" s="15" t="s">
        <v>253</v>
      </c>
      <c r="C70" s="15" t="s">
        <v>254</v>
      </c>
      <c r="D70" s="15" t="s">
        <v>255</v>
      </c>
      <c r="E70" s="15" t="s">
        <v>65</v>
      </c>
      <c r="F70" s="14">
        <v>5.0</v>
      </c>
      <c r="G70" s="16">
        <f t="shared" si="1"/>
        <v>0</v>
      </c>
      <c r="H70" s="16">
        <f t="shared" si="2"/>
        <v>0</v>
      </c>
      <c r="I70" s="17">
        <f t="shared" si="3"/>
        <v>0</v>
      </c>
      <c r="J70" s="17">
        <f t="shared" si="4"/>
        <v>0</v>
      </c>
      <c r="K70" s="17">
        <f t="shared" si="5"/>
        <v>0</v>
      </c>
    </row>
    <row r="71" ht="24.0" customHeight="1">
      <c r="A71" s="14">
        <v>66.0</v>
      </c>
      <c r="B71" s="15" t="s">
        <v>256</v>
      </c>
      <c r="C71" s="15" t="s">
        <v>257</v>
      </c>
      <c r="D71" s="15" t="s">
        <v>258</v>
      </c>
      <c r="E71" s="15" t="s">
        <v>69</v>
      </c>
      <c r="F71" s="14">
        <v>6.0</v>
      </c>
      <c r="G71" s="16">
        <f t="shared" si="1"/>
        <v>0</v>
      </c>
      <c r="H71" s="16">
        <f t="shared" si="2"/>
        <v>0</v>
      </c>
      <c r="I71" s="17">
        <f t="shared" si="3"/>
        <v>0</v>
      </c>
      <c r="J71" s="17">
        <f t="shared" si="4"/>
        <v>0</v>
      </c>
      <c r="K71" s="17">
        <f t="shared" si="5"/>
        <v>0</v>
      </c>
    </row>
    <row r="72" ht="24.0" customHeight="1">
      <c r="A72" s="14">
        <v>67.0</v>
      </c>
      <c r="B72" s="15" t="s">
        <v>259</v>
      </c>
      <c r="C72" s="15" t="s">
        <v>260</v>
      </c>
      <c r="D72" s="15" t="s">
        <v>261</v>
      </c>
      <c r="E72" s="15" t="s">
        <v>61</v>
      </c>
      <c r="F72" s="14">
        <v>7.0</v>
      </c>
      <c r="G72" s="16">
        <f t="shared" si="1"/>
        <v>0</v>
      </c>
      <c r="H72" s="16">
        <f t="shared" si="2"/>
        <v>0</v>
      </c>
      <c r="I72" s="17">
        <f t="shared" si="3"/>
        <v>0</v>
      </c>
      <c r="J72" s="17">
        <f t="shared" si="4"/>
        <v>0</v>
      </c>
      <c r="K72" s="17">
        <f t="shared" si="5"/>
        <v>0</v>
      </c>
    </row>
    <row r="73" ht="24.0" customHeight="1">
      <c r="A73" s="14">
        <v>68.0</v>
      </c>
      <c r="B73" s="15" t="s">
        <v>262</v>
      </c>
      <c r="C73" s="15" t="s">
        <v>263</v>
      </c>
      <c r="D73" s="15" t="s">
        <v>264</v>
      </c>
      <c r="E73" s="15" t="s">
        <v>65</v>
      </c>
      <c r="F73" s="14">
        <v>8.0</v>
      </c>
      <c r="G73" s="16">
        <f t="shared" si="1"/>
        <v>0</v>
      </c>
      <c r="H73" s="16">
        <f t="shared" si="2"/>
        <v>0</v>
      </c>
      <c r="I73" s="17">
        <f t="shared" si="3"/>
        <v>0</v>
      </c>
      <c r="J73" s="17">
        <f t="shared" si="4"/>
        <v>0</v>
      </c>
      <c r="K73" s="17">
        <f t="shared" si="5"/>
        <v>0</v>
      </c>
    </row>
    <row r="74" ht="24.0" customHeight="1">
      <c r="A74" s="14">
        <v>69.0</v>
      </c>
      <c r="B74" s="15" t="s">
        <v>265</v>
      </c>
      <c r="C74" s="15" t="s">
        <v>266</v>
      </c>
      <c r="D74" s="15" t="s">
        <v>267</v>
      </c>
      <c r="E74" s="15" t="s">
        <v>69</v>
      </c>
      <c r="F74" s="14">
        <v>9.0</v>
      </c>
      <c r="G74" s="16">
        <f t="shared" si="1"/>
        <v>0</v>
      </c>
      <c r="H74" s="16">
        <f t="shared" si="2"/>
        <v>0</v>
      </c>
      <c r="I74" s="17">
        <f t="shared" si="3"/>
        <v>0</v>
      </c>
      <c r="J74" s="17">
        <f t="shared" si="4"/>
        <v>0</v>
      </c>
      <c r="K74" s="17">
        <f t="shared" si="5"/>
        <v>0</v>
      </c>
    </row>
    <row r="75" ht="24.0" customHeight="1">
      <c r="A75" s="14">
        <v>70.0</v>
      </c>
      <c r="B75" s="15" t="s">
        <v>268</v>
      </c>
      <c r="C75" s="15" t="s">
        <v>269</v>
      </c>
      <c r="D75" s="15" t="s">
        <v>270</v>
      </c>
      <c r="E75" s="15" t="s">
        <v>61</v>
      </c>
      <c r="F75" s="14">
        <v>0.0</v>
      </c>
      <c r="G75" s="16">
        <f t="shared" si="1"/>
        <v>0</v>
      </c>
      <c r="H75" s="16">
        <f t="shared" si="2"/>
        <v>0</v>
      </c>
      <c r="I75" s="17">
        <f t="shared" si="3"/>
        <v>0</v>
      </c>
      <c r="J75" s="17">
        <f t="shared" si="4"/>
        <v>0</v>
      </c>
      <c r="K75" s="17">
        <f t="shared" si="5"/>
        <v>0</v>
      </c>
    </row>
    <row r="76" ht="24.0" customHeight="1">
      <c r="A76" s="14">
        <v>71.0</v>
      </c>
      <c r="B76" s="15" t="s">
        <v>271</v>
      </c>
      <c r="C76" s="15" t="s">
        <v>272</v>
      </c>
      <c r="D76" s="15" t="s">
        <v>273</v>
      </c>
      <c r="E76" s="15" t="s">
        <v>65</v>
      </c>
      <c r="F76" s="14">
        <v>1.0</v>
      </c>
      <c r="G76" s="16">
        <f t="shared" si="1"/>
        <v>0</v>
      </c>
      <c r="H76" s="16">
        <f t="shared" si="2"/>
        <v>0</v>
      </c>
      <c r="I76" s="17">
        <f t="shared" si="3"/>
        <v>0</v>
      </c>
      <c r="J76" s="17">
        <f t="shared" si="4"/>
        <v>0</v>
      </c>
      <c r="K76" s="17">
        <f t="shared" si="5"/>
        <v>0</v>
      </c>
    </row>
    <row r="77" ht="24.0" customHeight="1">
      <c r="A77" s="14">
        <v>72.0</v>
      </c>
      <c r="B77" s="15" t="s">
        <v>274</v>
      </c>
      <c r="C77" s="15" t="s">
        <v>275</v>
      </c>
      <c r="D77" s="15" t="s">
        <v>276</v>
      </c>
      <c r="E77" s="15" t="s">
        <v>69</v>
      </c>
      <c r="F77" s="14">
        <v>2.0</v>
      </c>
      <c r="G77" s="16">
        <f t="shared" si="1"/>
        <v>0</v>
      </c>
      <c r="H77" s="16">
        <f t="shared" si="2"/>
        <v>0</v>
      </c>
      <c r="I77" s="17">
        <f t="shared" si="3"/>
        <v>0</v>
      </c>
      <c r="J77" s="17">
        <f t="shared" si="4"/>
        <v>0</v>
      </c>
      <c r="K77" s="17">
        <f t="shared" si="5"/>
        <v>0</v>
      </c>
    </row>
    <row r="78" ht="24.0" customHeight="1">
      <c r="A78" s="14">
        <v>73.0</v>
      </c>
      <c r="B78" s="15" t="s">
        <v>277</v>
      </c>
      <c r="C78" s="15" t="s">
        <v>278</v>
      </c>
      <c r="D78" s="15" t="s">
        <v>279</v>
      </c>
      <c r="E78" s="15" t="s">
        <v>61</v>
      </c>
      <c r="F78" s="14">
        <v>3.0</v>
      </c>
      <c r="G78" s="16">
        <f t="shared" si="1"/>
        <v>0</v>
      </c>
      <c r="H78" s="16">
        <f t="shared" si="2"/>
        <v>0</v>
      </c>
      <c r="I78" s="17">
        <f t="shared" si="3"/>
        <v>0</v>
      </c>
      <c r="J78" s="17">
        <f t="shared" si="4"/>
        <v>0</v>
      </c>
      <c r="K78" s="17">
        <f t="shared" si="5"/>
        <v>0</v>
      </c>
    </row>
    <row r="79" ht="24.0" customHeight="1">
      <c r="A79" s="14">
        <v>74.0</v>
      </c>
      <c r="B79" s="15" t="s">
        <v>280</v>
      </c>
      <c r="C79" s="15" t="s">
        <v>281</v>
      </c>
      <c r="D79" s="15" t="s">
        <v>282</v>
      </c>
      <c r="E79" s="15" t="s">
        <v>65</v>
      </c>
      <c r="F79" s="14">
        <v>4.0</v>
      </c>
      <c r="G79" s="16">
        <f t="shared" si="1"/>
        <v>0</v>
      </c>
      <c r="H79" s="16">
        <f t="shared" si="2"/>
        <v>0</v>
      </c>
      <c r="I79" s="17">
        <f t="shared" si="3"/>
        <v>0</v>
      </c>
      <c r="J79" s="17">
        <f t="shared" si="4"/>
        <v>0</v>
      </c>
      <c r="K79" s="17">
        <f t="shared" si="5"/>
        <v>0</v>
      </c>
    </row>
    <row r="80" ht="24.0" customHeight="1">
      <c r="A80" s="14">
        <v>75.0</v>
      </c>
      <c r="B80" s="15" t="s">
        <v>283</v>
      </c>
      <c r="C80" s="15" t="s">
        <v>284</v>
      </c>
      <c r="D80" s="15" t="s">
        <v>285</v>
      </c>
      <c r="E80" s="15" t="s">
        <v>69</v>
      </c>
      <c r="F80" s="14">
        <v>5.0</v>
      </c>
      <c r="G80" s="16">
        <f t="shared" si="1"/>
        <v>0</v>
      </c>
      <c r="H80" s="16">
        <f t="shared" si="2"/>
        <v>0</v>
      </c>
      <c r="I80" s="17">
        <f t="shared" si="3"/>
        <v>0</v>
      </c>
      <c r="J80" s="17">
        <f t="shared" si="4"/>
        <v>0</v>
      </c>
      <c r="K80" s="17">
        <f t="shared" si="5"/>
        <v>0</v>
      </c>
    </row>
    <row r="81" ht="24.0" customHeight="1">
      <c r="A81" s="14">
        <v>76.0</v>
      </c>
      <c r="B81" s="15" t="s">
        <v>286</v>
      </c>
      <c r="C81" s="15" t="s">
        <v>287</v>
      </c>
      <c r="D81" s="15" t="s">
        <v>288</v>
      </c>
      <c r="E81" s="15" t="s">
        <v>61</v>
      </c>
      <c r="F81" s="14">
        <v>6.0</v>
      </c>
      <c r="G81" s="16">
        <f t="shared" si="1"/>
        <v>0</v>
      </c>
      <c r="H81" s="16">
        <f t="shared" si="2"/>
        <v>0</v>
      </c>
      <c r="I81" s="17">
        <f t="shared" si="3"/>
        <v>0</v>
      </c>
      <c r="J81" s="17">
        <f t="shared" si="4"/>
        <v>0</v>
      </c>
      <c r="K81" s="17">
        <f t="shared" si="5"/>
        <v>0</v>
      </c>
    </row>
    <row r="82" ht="24.0" customHeight="1">
      <c r="A82" s="14">
        <v>77.0</v>
      </c>
      <c r="B82" s="15" t="s">
        <v>289</v>
      </c>
      <c r="C82" s="15" t="s">
        <v>290</v>
      </c>
      <c r="D82" s="15" t="s">
        <v>291</v>
      </c>
      <c r="E82" s="15" t="s">
        <v>65</v>
      </c>
      <c r="F82" s="14">
        <v>7.0</v>
      </c>
      <c r="G82" s="16">
        <f t="shared" si="1"/>
        <v>0</v>
      </c>
      <c r="H82" s="16">
        <f t="shared" si="2"/>
        <v>0</v>
      </c>
      <c r="I82" s="17">
        <f t="shared" si="3"/>
        <v>0</v>
      </c>
      <c r="J82" s="17">
        <f t="shared" si="4"/>
        <v>0</v>
      </c>
      <c r="K82" s="17">
        <f t="shared" si="5"/>
        <v>0</v>
      </c>
    </row>
    <row r="83" ht="24.0" customHeight="1">
      <c r="A83" s="14">
        <v>78.0</v>
      </c>
      <c r="B83" s="15" t="s">
        <v>292</v>
      </c>
      <c r="C83" s="15" t="s">
        <v>293</v>
      </c>
      <c r="D83" s="15" t="s">
        <v>294</v>
      </c>
      <c r="E83" s="15" t="s">
        <v>69</v>
      </c>
      <c r="F83" s="14">
        <v>8.0</v>
      </c>
      <c r="G83" s="16">
        <f t="shared" si="1"/>
        <v>0</v>
      </c>
      <c r="H83" s="16">
        <f t="shared" si="2"/>
        <v>0</v>
      </c>
      <c r="I83" s="17">
        <f t="shared" si="3"/>
        <v>0</v>
      </c>
      <c r="J83" s="17">
        <f t="shared" si="4"/>
        <v>0</v>
      </c>
      <c r="K83" s="17">
        <f t="shared" si="5"/>
        <v>0</v>
      </c>
    </row>
    <row r="84" ht="24.0" customHeight="1">
      <c r="A84" s="14">
        <v>79.0</v>
      </c>
      <c r="B84" s="15" t="s">
        <v>295</v>
      </c>
      <c r="C84" s="15" t="s">
        <v>296</v>
      </c>
      <c r="D84" s="15" t="s">
        <v>297</v>
      </c>
      <c r="E84" s="15" t="s">
        <v>61</v>
      </c>
      <c r="F84" s="14">
        <v>9.0</v>
      </c>
      <c r="G84" s="16">
        <f t="shared" si="1"/>
        <v>0</v>
      </c>
      <c r="H84" s="16">
        <f t="shared" si="2"/>
        <v>0</v>
      </c>
      <c r="I84" s="17">
        <f t="shared" si="3"/>
        <v>0</v>
      </c>
      <c r="J84" s="17">
        <f t="shared" si="4"/>
        <v>0</v>
      </c>
      <c r="K84" s="17">
        <f t="shared" si="5"/>
        <v>0</v>
      </c>
    </row>
    <row r="85" ht="24.0" customHeight="1">
      <c r="A85" s="14">
        <v>80.0</v>
      </c>
      <c r="B85" s="15" t="s">
        <v>298</v>
      </c>
      <c r="C85" s="15" t="s">
        <v>299</v>
      </c>
      <c r="D85" s="15" t="s">
        <v>300</v>
      </c>
      <c r="E85" s="15" t="s">
        <v>65</v>
      </c>
      <c r="F85" s="14">
        <v>0.0</v>
      </c>
      <c r="G85" s="16">
        <f t="shared" si="1"/>
        <v>0</v>
      </c>
      <c r="H85" s="16">
        <f t="shared" si="2"/>
        <v>0</v>
      </c>
      <c r="I85" s="17">
        <f t="shared" si="3"/>
        <v>0</v>
      </c>
      <c r="J85" s="17">
        <f t="shared" si="4"/>
        <v>0</v>
      </c>
      <c r="K85" s="17">
        <f t="shared" si="5"/>
        <v>0</v>
      </c>
    </row>
    <row r="86" ht="24.0" customHeight="1">
      <c r="A86" s="14">
        <v>81.0</v>
      </c>
      <c r="B86" s="15" t="s">
        <v>301</v>
      </c>
      <c r="C86" s="15" t="s">
        <v>302</v>
      </c>
      <c r="D86" s="15" t="s">
        <v>303</v>
      </c>
      <c r="E86" s="15" t="s">
        <v>69</v>
      </c>
      <c r="F86" s="14">
        <v>1.0</v>
      </c>
      <c r="G86" s="16">
        <f t="shared" si="1"/>
        <v>0</v>
      </c>
      <c r="H86" s="16">
        <f t="shared" si="2"/>
        <v>0</v>
      </c>
      <c r="I86" s="17">
        <f t="shared" si="3"/>
        <v>0</v>
      </c>
      <c r="J86" s="17">
        <f t="shared" si="4"/>
        <v>0</v>
      </c>
      <c r="K86" s="17">
        <f t="shared" si="5"/>
        <v>0</v>
      </c>
    </row>
    <row r="87" ht="24.0" customHeight="1">
      <c r="A87" s="14">
        <v>82.0</v>
      </c>
      <c r="B87" s="15" t="s">
        <v>304</v>
      </c>
      <c r="C87" s="15" t="s">
        <v>305</v>
      </c>
      <c r="D87" s="15" t="s">
        <v>306</v>
      </c>
      <c r="E87" s="15" t="s">
        <v>61</v>
      </c>
      <c r="F87" s="14">
        <v>2.0</v>
      </c>
      <c r="G87" s="16">
        <f t="shared" si="1"/>
        <v>0</v>
      </c>
      <c r="H87" s="16">
        <f t="shared" si="2"/>
        <v>0</v>
      </c>
      <c r="I87" s="17">
        <f t="shared" si="3"/>
        <v>0</v>
      </c>
      <c r="J87" s="17">
        <f t="shared" si="4"/>
        <v>0</v>
      </c>
      <c r="K87" s="17">
        <f t="shared" si="5"/>
        <v>0</v>
      </c>
    </row>
    <row r="88" ht="24.0" customHeight="1">
      <c r="A88" s="14">
        <v>83.0</v>
      </c>
      <c r="B88" s="15" t="s">
        <v>307</v>
      </c>
      <c r="C88" s="15" t="s">
        <v>308</v>
      </c>
      <c r="D88" s="15" t="s">
        <v>309</v>
      </c>
      <c r="E88" s="15" t="s">
        <v>65</v>
      </c>
      <c r="F88" s="14">
        <v>3.0</v>
      </c>
      <c r="G88" s="16">
        <f t="shared" si="1"/>
        <v>0</v>
      </c>
      <c r="H88" s="16">
        <f t="shared" si="2"/>
        <v>0</v>
      </c>
      <c r="I88" s="17">
        <f t="shared" si="3"/>
        <v>0</v>
      </c>
      <c r="J88" s="17">
        <f t="shared" si="4"/>
        <v>0</v>
      </c>
      <c r="K88" s="17">
        <f t="shared" si="5"/>
        <v>0</v>
      </c>
    </row>
    <row r="89" ht="24.0" customHeight="1">
      <c r="A89" s="14">
        <v>84.0</v>
      </c>
      <c r="B89" s="15" t="s">
        <v>310</v>
      </c>
      <c r="C89" s="15" t="s">
        <v>311</v>
      </c>
      <c r="D89" s="15" t="s">
        <v>312</v>
      </c>
      <c r="E89" s="15" t="s">
        <v>69</v>
      </c>
      <c r="F89" s="14">
        <v>4.0</v>
      </c>
      <c r="G89" s="16">
        <f t="shared" si="1"/>
        <v>0</v>
      </c>
      <c r="H89" s="16">
        <f t="shared" si="2"/>
        <v>0</v>
      </c>
      <c r="I89" s="17">
        <f t="shared" si="3"/>
        <v>0</v>
      </c>
      <c r="J89" s="17">
        <f t="shared" si="4"/>
        <v>0</v>
      </c>
      <c r="K89" s="17">
        <f t="shared" si="5"/>
        <v>0</v>
      </c>
    </row>
    <row r="90" ht="24.0" customHeight="1">
      <c r="A90" s="14">
        <v>85.0</v>
      </c>
      <c r="B90" s="15" t="s">
        <v>313</v>
      </c>
      <c r="C90" s="15" t="s">
        <v>314</v>
      </c>
      <c r="D90" s="15" t="s">
        <v>315</v>
      </c>
      <c r="E90" s="15" t="s">
        <v>61</v>
      </c>
      <c r="F90" s="14">
        <v>5.0</v>
      </c>
      <c r="G90" s="16">
        <f t="shared" si="1"/>
        <v>0</v>
      </c>
      <c r="H90" s="16">
        <f t="shared" si="2"/>
        <v>0</v>
      </c>
      <c r="I90" s="17">
        <f t="shared" si="3"/>
        <v>0</v>
      </c>
      <c r="J90" s="17">
        <f t="shared" si="4"/>
        <v>0</v>
      </c>
      <c r="K90" s="17">
        <f t="shared" si="5"/>
        <v>0</v>
      </c>
    </row>
    <row r="91" ht="24.0" customHeight="1">
      <c r="A91" s="14">
        <v>86.0</v>
      </c>
      <c r="B91" s="15" t="s">
        <v>316</v>
      </c>
      <c r="C91" s="15" t="s">
        <v>317</v>
      </c>
      <c r="D91" s="15" t="s">
        <v>318</v>
      </c>
      <c r="E91" s="15" t="s">
        <v>65</v>
      </c>
      <c r="F91" s="14">
        <v>6.0</v>
      </c>
      <c r="G91" s="16">
        <f t="shared" si="1"/>
        <v>0</v>
      </c>
      <c r="H91" s="16">
        <f t="shared" si="2"/>
        <v>0</v>
      </c>
      <c r="I91" s="17">
        <f t="shared" si="3"/>
        <v>0</v>
      </c>
      <c r="J91" s="17">
        <f t="shared" si="4"/>
        <v>0</v>
      </c>
      <c r="K91" s="17">
        <f t="shared" si="5"/>
        <v>0</v>
      </c>
    </row>
    <row r="92" ht="24.0" customHeight="1">
      <c r="A92" s="14">
        <v>87.0</v>
      </c>
      <c r="B92" s="15" t="s">
        <v>319</v>
      </c>
      <c r="C92" s="15" t="s">
        <v>320</v>
      </c>
      <c r="D92" s="15" t="s">
        <v>321</v>
      </c>
      <c r="E92" s="15" t="s">
        <v>69</v>
      </c>
      <c r="F92" s="14">
        <v>7.0</v>
      </c>
      <c r="G92" s="16">
        <f t="shared" si="1"/>
        <v>0</v>
      </c>
      <c r="H92" s="16">
        <f t="shared" si="2"/>
        <v>0</v>
      </c>
      <c r="I92" s="17">
        <f t="shared" si="3"/>
        <v>0</v>
      </c>
      <c r="J92" s="17">
        <f t="shared" si="4"/>
        <v>0</v>
      </c>
      <c r="K92" s="17">
        <f t="shared" si="5"/>
        <v>0</v>
      </c>
    </row>
    <row r="93" ht="24.0" customHeight="1">
      <c r="A93" s="14">
        <v>88.0</v>
      </c>
      <c r="B93" s="15" t="s">
        <v>322</v>
      </c>
      <c r="C93" s="15" t="s">
        <v>323</v>
      </c>
      <c r="D93" s="15" t="s">
        <v>324</v>
      </c>
      <c r="E93" s="15" t="s">
        <v>61</v>
      </c>
      <c r="F93" s="14">
        <v>8.0</v>
      </c>
      <c r="G93" s="16">
        <f t="shared" si="1"/>
        <v>0</v>
      </c>
      <c r="H93" s="16">
        <f t="shared" si="2"/>
        <v>0</v>
      </c>
      <c r="I93" s="17">
        <f t="shared" si="3"/>
        <v>0</v>
      </c>
      <c r="J93" s="17">
        <f t="shared" si="4"/>
        <v>0</v>
      </c>
      <c r="K93" s="17">
        <f t="shared" si="5"/>
        <v>0</v>
      </c>
    </row>
    <row r="94" ht="24.0" customHeight="1">
      <c r="A94" s="14">
        <v>89.0</v>
      </c>
      <c r="B94" s="15" t="s">
        <v>325</v>
      </c>
      <c r="C94" s="15" t="s">
        <v>326</v>
      </c>
      <c r="D94" s="15" t="s">
        <v>327</v>
      </c>
      <c r="E94" s="15" t="s">
        <v>65</v>
      </c>
      <c r="F94" s="14">
        <v>9.0</v>
      </c>
      <c r="G94" s="16">
        <f t="shared" si="1"/>
        <v>0</v>
      </c>
      <c r="H94" s="16">
        <f t="shared" si="2"/>
        <v>0</v>
      </c>
      <c r="I94" s="17">
        <f t="shared" si="3"/>
        <v>0</v>
      </c>
      <c r="J94" s="17">
        <f t="shared" si="4"/>
        <v>0</v>
      </c>
      <c r="K94" s="17">
        <f t="shared" si="5"/>
        <v>0</v>
      </c>
    </row>
    <row r="95" ht="24.0" customHeight="1">
      <c r="A95" s="14">
        <v>90.0</v>
      </c>
      <c r="B95" s="15" t="s">
        <v>328</v>
      </c>
      <c r="C95" s="15" t="s">
        <v>329</v>
      </c>
      <c r="D95" s="15" t="s">
        <v>330</v>
      </c>
      <c r="E95" s="15" t="s">
        <v>69</v>
      </c>
      <c r="F95" s="14">
        <v>0.0</v>
      </c>
      <c r="G95" s="16">
        <f t="shared" si="1"/>
        <v>0</v>
      </c>
      <c r="H95" s="16">
        <f t="shared" si="2"/>
        <v>0</v>
      </c>
      <c r="I95" s="17">
        <f t="shared" si="3"/>
        <v>0</v>
      </c>
      <c r="J95" s="17">
        <f t="shared" si="4"/>
        <v>0</v>
      </c>
      <c r="K95" s="17">
        <f t="shared" si="5"/>
        <v>0</v>
      </c>
    </row>
    <row r="96" ht="24.0" customHeight="1">
      <c r="A96" s="14">
        <v>91.0</v>
      </c>
      <c r="B96" s="15" t="s">
        <v>331</v>
      </c>
      <c r="C96" s="15" t="s">
        <v>332</v>
      </c>
      <c r="D96" s="15" t="s">
        <v>333</v>
      </c>
      <c r="E96" s="15" t="s">
        <v>61</v>
      </c>
      <c r="F96" s="14">
        <v>1.0</v>
      </c>
      <c r="G96" s="16">
        <f t="shared" si="1"/>
        <v>0</v>
      </c>
      <c r="H96" s="16">
        <f t="shared" si="2"/>
        <v>0</v>
      </c>
      <c r="I96" s="17">
        <f t="shared" si="3"/>
        <v>0</v>
      </c>
      <c r="J96" s="17">
        <f t="shared" si="4"/>
        <v>0</v>
      </c>
      <c r="K96" s="17">
        <f t="shared" si="5"/>
        <v>0</v>
      </c>
    </row>
    <row r="97" ht="24.0" customHeight="1">
      <c r="A97" s="14">
        <v>92.0</v>
      </c>
      <c r="B97" s="15" t="s">
        <v>334</v>
      </c>
      <c r="C97" s="15" t="s">
        <v>335</v>
      </c>
      <c r="D97" s="15" t="s">
        <v>336</v>
      </c>
      <c r="E97" s="15" t="s">
        <v>65</v>
      </c>
      <c r="F97" s="14">
        <v>2.0</v>
      </c>
      <c r="G97" s="16">
        <f t="shared" si="1"/>
        <v>0</v>
      </c>
      <c r="H97" s="16">
        <f t="shared" si="2"/>
        <v>0</v>
      </c>
      <c r="I97" s="17">
        <f t="shared" si="3"/>
        <v>0</v>
      </c>
      <c r="J97" s="17">
        <f t="shared" si="4"/>
        <v>0</v>
      </c>
      <c r="K97" s="17">
        <f t="shared" si="5"/>
        <v>0</v>
      </c>
    </row>
    <row r="98" ht="24.0" customHeight="1">
      <c r="A98" s="14">
        <v>93.0</v>
      </c>
      <c r="B98" s="15" t="s">
        <v>337</v>
      </c>
      <c r="C98" s="15" t="s">
        <v>338</v>
      </c>
      <c r="D98" s="15" t="s">
        <v>339</v>
      </c>
      <c r="E98" s="15" t="s">
        <v>69</v>
      </c>
      <c r="F98" s="14">
        <v>3.0</v>
      </c>
      <c r="G98" s="16">
        <f t="shared" si="1"/>
        <v>0</v>
      </c>
      <c r="H98" s="16">
        <f t="shared" si="2"/>
        <v>0</v>
      </c>
      <c r="I98" s="17">
        <f t="shared" si="3"/>
        <v>0</v>
      </c>
      <c r="J98" s="17">
        <f t="shared" si="4"/>
        <v>0</v>
      </c>
      <c r="K98" s="17">
        <f t="shared" si="5"/>
        <v>0</v>
      </c>
    </row>
    <row r="99" ht="24.0" customHeight="1">
      <c r="A99" s="14">
        <v>94.0</v>
      </c>
      <c r="B99" s="15" t="s">
        <v>340</v>
      </c>
      <c r="C99" s="15" t="s">
        <v>341</v>
      </c>
      <c r="D99" s="15" t="s">
        <v>342</v>
      </c>
      <c r="E99" s="15" t="s">
        <v>61</v>
      </c>
      <c r="F99" s="14">
        <v>4.0</v>
      </c>
      <c r="G99" s="16">
        <f t="shared" si="1"/>
        <v>0</v>
      </c>
      <c r="H99" s="16">
        <f t="shared" si="2"/>
        <v>0</v>
      </c>
      <c r="I99" s="17">
        <f t="shared" si="3"/>
        <v>0</v>
      </c>
      <c r="J99" s="17">
        <f t="shared" si="4"/>
        <v>0</v>
      </c>
      <c r="K99" s="17">
        <f t="shared" si="5"/>
        <v>0</v>
      </c>
    </row>
    <row r="100" ht="24.0" customHeight="1">
      <c r="A100" s="14">
        <v>95.0</v>
      </c>
      <c r="B100" s="15" t="s">
        <v>343</v>
      </c>
      <c r="C100" s="15" t="s">
        <v>344</v>
      </c>
      <c r="D100" s="15" t="s">
        <v>345</v>
      </c>
      <c r="E100" s="15" t="s">
        <v>65</v>
      </c>
      <c r="F100" s="14">
        <v>5.0</v>
      </c>
      <c r="G100" s="16">
        <f t="shared" si="1"/>
        <v>0</v>
      </c>
      <c r="H100" s="16">
        <f t="shared" si="2"/>
        <v>0</v>
      </c>
      <c r="I100" s="17">
        <f t="shared" si="3"/>
        <v>0</v>
      </c>
      <c r="J100" s="17">
        <f t="shared" si="4"/>
        <v>0</v>
      </c>
      <c r="K100" s="17">
        <f t="shared" si="5"/>
        <v>0</v>
      </c>
    </row>
    <row r="101" ht="24.0" customHeight="1">
      <c r="A101" s="14">
        <v>96.0</v>
      </c>
      <c r="B101" s="15" t="s">
        <v>73</v>
      </c>
      <c r="C101" s="15" t="s">
        <v>346</v>
      </c>
      <c r="D101" s="15" t="s">
        <v>347</v>
      </c>
      <c r="E101" s="15" t="s">
        <v>69</v>
      </c>
      <c r="F101" s="14">
        <v>6.0</v>
      </c>
      <c r="G101" s="16">
        <f t="shared" si="1"/>
        <v>1</v>
      </c>
      <c r="H101" s="16">
        <f t="shared" si="2"/>
        <v>0</v>
      </c>
      <c r="I101" s="17">
        <f t="shared" si="3"/>
        <v>0</v>
      </c>
      <c r="J101" s="17">
        <f t="shared" si="4"/>
        <v>0</v>
      </c>
      <c r="K101" s="17">
        <f t="shared" si="5"/>
        <v>0</v>
      </c>
    </row>
    <row r="102" ht="24.0" customHeight="1">
      <c r="A102" s="14">
        <v>97.0</v>
      </c>
      <c r="B102" s="15" t="s">
        <v>103</v>
      </c>
      <c r="C102" s="15" t="s">
        <v>348</v>
      </c>
      <c r="D102" s="15" t="s">
        <v>349</v>
      </c>
      <c r="E102" s="15" t="s">
        <v>61</v>
      </c>
      <c r="F102" s="14">
        <v>7.0</v>
      </c>
      <c r="G102" s="16">
        <f t="shared" si="1"/>
        <v>1</v>
      </c>
      <c r="H102" s="16">
        <f t="shared" si="2"/>
        <v>0</v>
      </c>
      <c r="I102" s="17">
        <f t="shared" si="3"/>
        <v>0</v>
      </c>
      <c r="J102" s="17">
        <f t="shared" si="4"/>
        <v>0</v>
      </c>
      <c r="K102" s="17">
        <f t="shared" si="5"/>
        <v>0</v>
      </c>
    </row>
    <row r="103" ht="24.0" customHeight="1">
      <c r="A103" s="14">
        <v>98.0</v>
      </c>
      <c r="B103" s="15" t="s">
        <v>133</v>
      </c>
      <c r="C103" s="15" t="s">
        <v>350</v>
      </c>
      <c r="D103" s="15" t="s">
        <v>351</v>
      </c>
      <c r="E103" s="15" t="s">
        <v>65</v>
      </c>
      <c r="F103" s="14">
        <v>8.0</v>
      </c>
      <c r="G103" s="16">
        <f t="shared" si="1"/>
        <v>1</v>
      </c>
      <c r="H103" s="16">
        <f t="shared" si="2"/>
        <v>0</v>
      </c>
      <c r="I103" s="17">
        <f t="shared" si="3"/>
        <v>0</v>
      </c>
      <c r="J103" s="17">
        <f t="shared" si="4"/>
        <v>0</v>
      </c>
      <c r="K103" s="17">
        <f t="shared" si="5"/>
        <v>0</v>
      </c>
    </row>
    <row r="104" ht="24.0" customHeight="1">
      <c r="A104" s="14">
        <v>99.0</v>
      </c>
      <c r="B104" s="15" t="s">
        <v>164</v>
      </c>
      <c r="C104" s="15" t="s">
        <v>352</v>
      </c>
      <c r="D104" s="15" t="s">
        <v>353</v>
      </c>
      <c r="E104" s="15" t="s">
        <v>69</v>
      </c>
      <c r="F104" s="14">
        <v>9.0</v>
      </c>
      <c r="G104" s="16">
        <f t="shared" si="1"/>
        <v>1</v>
      </c>
      <c r="H104" s="16">
        <f t="shared" si="2"/>
        <v>0</v>
      </c>
      <c r="I104" s="17">
        <f t="shared" si="3"/>
        <v>0</v>
      </c>
      <c r="J104" s="17">
        <f t="shared" si="4"/>
        <v>0</v>
      </c>
      <c r="K104" s="17">
        <f t="shared" si="5"/>
        <v>0</v>
      </c>
    </row>
    <row r="105" ht="24.0" customHeight="1">
      <c r="A105" s="14">
        <v>100.0</v>
      </c>
      <c r="B105" s="15" t="s">
        <v>194</v>
      </c>
      <c r="C105" s="15" t="s">
        <v>354</v>
      </c>
      <c r="D105" s="15" t="s">
        <v>355</v>
      </c>
      <c r="E105" s="15" t="s">
        <v>61</v>
      </c>
      <c r="F105" s="14">
        <v>0.0</v>
      </c>
      <c r="G105" s="16">
        <f t="shared" si="1"/>
        <v>1</v>
      </c>
      <c r="H105" s="16">
        <f t="shared" si="2"/>
        <v>0</v>
      </c>
      <c r="I105" s="17">
        <f t="shared" si="3"/>
        <v>0</v>
      </c>
      <c r="J105" s="17">
        <f t="shared" si="4"/>
        <v>0</v>
      </c>
      <c r="K105" s="17">
        <f t="shared" si="5"/>
        <v>0</v>
      </c>
    </row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G6:K105">
    <cfRule type="cellIs" dxfId="5" priority="1" operator="greaterThan">
      <formula>0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7.0"/>
    <col customWidth="1" min="2" max="2" width="22.0"/>
    <col customWidth="1" min="3" max="3" width="51.0"/>
    <col customWidth="1" min="4" max="4" width="18.0"/>
    <col customWidth="1" min="5" max="6" width="28.0"/>
    <col customWidth="1" min="7" max="7" width="42.0"/>
    <col customWidth="1" min="8" max="26" width="8.63"/>
  </cols>
  <sheetData>
    <row r="1" ht="24.0" customHeight="1">
      <c r="A1" s="1"/>
      <c r="B1" s="1"/>
      <c r="C1" s="1"/>
      <c r="D1" s="1"/>
      <c r="E1" s="1"/>
      <c r="F1" s="1"/>
      <c r="G1" s="1"/>
    </row>
    <row r="2" ht="24.0" customHeight="1">
      <c r="A2" s="2" t="s">
        <v>356</v>
      </c>
      <c r="B2" s="3"/>
      <c r="C2" s="3"/>
      <c r="D2" s="3"/>
      <c r="E2" s="3"/>
      <c r="F2" s="3"/>
      <c r="G2" s="3"/>
    </row>
    <row r="3" ht="24.0" customHeight="1">
      <c r="A3" s="1" t="s">
        <v>357</v>
      </c>
      <c r="B3" s="1"/>
      <c r="C3" s="1"/>
      <c r="D3" s="1"/>
      <c r="E3" s="1"/>
      <c r="F3" s="1"/>
      <c r="G3" s="1"/>
    </row>
    <row r="4" ht="24.0" customHeight="1">
      <c r="A4" s="1"/>
      <c r="B4" s="1"/>
      <c r="C4" s="1"/>
      <c r="D4" s="1"/>
      <c r="E4" s="1"/>
      <c r="F4" s="1"/>
      <c r="G4" s="1"/>
    </row>
    <row r="5" ht="36.0" customHeight="1">
      <c r="A5" s="4" t="s">
        <v>358</v>
      </c>
      <c r="B5" s="4" t="s">
        <v>359</v>
      </c>
      <c r="C5" s="4" t="s">
        <v>360</v>
      </c>
      <c r="D5" s="4" t="s">
        <v>361</v>
      </c>
      <c r="E5" s="4" t="s">
        <v>362</v>
      </c>
      <c r="F5" s="4" t="s">
        <v>363</v>
      </c>
      <c r="G5" s="1"/>
    </row>
    <row r="6" ht="42.0" customHeight="1">
      <c r="A6" s="18" t="s">
        <v>47</v>
      </c>
      <c r="B6" s="18" t="s">
        <v>364</v>
      </c>
      <c r="C6" s="18" t="s">
        <v>365</v>
      </c>
      <c r="D6" s="18" t="s">
        <v>366</v>
      </c>
      <c r="E6" s="18" t="s">
        <v>367</v>
      </c>
      <c r="F6" s="18" t="s">
        <v>368</v>
      </c>
      <c r="G6" s="19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42.0" customHeight="1">
      <c r="A7" s="18" t="s">
        <v>48</v>
      </c>
      <c r="B7" s="18" t="s">
        <v>369</v>
      </c>
      <c r="C7" s="18" t="s">
        <v>370</v>
      </c>
      <c r="D7" s="18" t="s">
        <v>366</v>
      </c>
      <c r="E7" s="18" t="s">
        <v>371</v>
      </c>
      <c r="F7" s="18" t="s">
        <v>372</v>
      </c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ht="42.0" customHeight="1">
      <c r="A8" s="18" t="s">
        <v>49</v>
      </c>
      <c r="B8" s="18" t="s">
        <v>369</v>
      </c>
      <c r="C8" s="21" t="s">
        <v>373</v>
      </c>
      <c r="D8" s="22" t="s">
        <v>366</v>
      </c>
      <c r="E8" s="21" t="s">
        <v>374</v>
      </c>
      <c r="F8" s="23" t="s">
        <v>375</v>
      </c>
      <c r="G8" s="19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ht="42.0" customHeight="1">
      <c r="A9" s="18" t="s">
        <v>50</v>
      </c>
      <c r="B9" s="18" t="s">
        <v>369</v>
      </c>
      <c r="C9" s="22" t="s">
        <v>376</v>
      </c>
      <c r="D9" s="22" t="s">
        <v>366</v>
      </c>
      <c r="E9" s="22" t="s">
        <v>377</v>
      </c>
      <c r="F9" s="22" t="s">
        <v>378</v>
      </c>
      <c r="G9" s="19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42.0" customHeight="1">
      <c r="A10" s="18" t="s">
        <v>51</v>
      </c>
      <c r="B10" s="18" t="s">
        <v>369</v>
      </c>
      <c r="C10" s="21" t="s">
        <v>379</v>
      </c>
      <c r="D10" s="22" t="s">
        <v>366</v>
      </c>
      <c r="E10" s="21" t="s">
        <v>380</v>
      </c>
      <c r="F10" s="21" t="s">
        <v>381</v>
      </c>
      <c r="G10" s="19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42.0" customHeight="1">
      <c r="A11" s="18" t="s">
        <v>52</v>
      </c>
      <c r="B11" s="18" t="s">
        <v>364</v>
      </c>
      <c r="C11" s="21" t="s">
        <v>382</v>
      </c>
      <c r="D11" s="22" t="s">
        <v>366</v>
      </c>
      <c r="E11" s="21" t="s">
        <v>383</v>
      </c>
      <c r="F11" s="21" t="s">
        <v>384</v>
      </c>
      <c r="G11" s="19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24.0" customHeight="1">
      <c r="A12" s="1"/>
      <c r="B12" s="1"/>
      <c r="C12" s="1"/>
      <c r="D12" s="1"/>
      <c r="E12" s="1"/>
      <c r="F12" s="1"/>
      <c r="G12" s="1"/>
    </row>
    <row r="13" ht="24.0" customHeight="1">
      <c r="A13" s="1"/>
      <c r="B13" s="1"/>
      <c r="C13" s="1"/>
      <c r="D13" s="1"/>
      <c r="E13" s="1"/>
      <c r="F13" s="1"/>
      <c r="G13" s="1"/>
    </row>
    <row r="14" ht="24.0" customHeight="1">
      <c r="A14" s="1"/>
      <c r="B14" s="1"/>
      <c r="C14" s="1"/>
      <c r="D14" s="1"/>
      <c r="E14" s="1"/>
      <c r="F14" s="1"/>
      <c r="G14" s="1"/>
    </row>
    <row r="15" ht="24.0" customHeight="1">
      <c r="A15" s="9" t="s">
        <v>385</v>
      </c>
      <c r="B15" s="1"/>
      <c r="C15" s="1"/>
      <c r="D15" s="1"/>
      <c r="E15" s="1"/>
      <c r="F15" s="1"/>
      <c r="G15" s="1"/>
    </row>
    <row r="16" ht="24.0" customHeight="1">
      <c r="A16" s="1"/>
      <c r="B16" s="1"/>
      <c r="C16" s="1"/>
      <c r="D16" s="1"/>
      <c r="E16" s="1"/>
      <c r="F16" s="1"/>
      <c r="G16" s="1"/>
    </row>
    <row r="17" ht="36.0" customHeight="1">
      <c r="A17" s="4" t="s">
        <v>386</v>
      </c>
      <c r="B17" s="4" t="s">
        <v>387</v>
      </c>
      <c r="C17" s="4" t="s">
        <v>388</v>
      </c>
      <c r="D17" s="4" t="s">
        <v>389</v>
      </c>
      <c r="E17" s="4" t="s">
        <v>390</v>
      </c>
      <c r="F17" s="4" t="s">
        <v>391</v>
      </c>
      <c r="G17" s="4" t="s">
        <v>392</v>
      </c>
    </row>
    <row r="18" ht="31.5" customHeight="1">
      <c r="A18" s="1" t="s">
        <v>393</v>
      </c>
      <c r="B18" s="1" t="s">
        <v>394</v>
      </c>
      <c r="C18" s="1" t="s">
        <v>395</v>
      </c>
      <c r="D18" s="1" t="s">
        <v>396</v>
      </c>
      <c r="E18" s="1" t="s">
        <v>397</v>
      </c>
      <c r="F18" s="24"/>
      <c r="G18" s="1" t="s">
        <v>398</v>
      </c>
    </row>
    <row r="19" ht="31.5" customHeight="1">
      <c r="A19" s="1" t="s">
        <v>399</v>
      </c>
      <c r="B19" s="1" t="s">
        <v>400</v>
      </c>
      <c r="C19" s="1" t="s">
        <v>401</v>
      </c>
      <c r="D19" s="12"/>
      <c r="E19" s="12"/>
      <c r="F19" s="11"/>
      <c r="G19" s="10" t="s">
        <v>402</v>
      </c>
    </row>
    <row r="20" ht="31.5" customHeight="1">
      <c r="A20" s="1" t="s">
        <v>403</v>
      </c>
      <c r="B20" s="1" t="s">
        <v>404</v>
      </c>
      <c r="C20" s="1" t="s">
        <v>405</v>
      </c>
      <c r="D20" s="12"/>
      <c r="E20" s="12"/>
      <c r="F20" s="11"/>
      <c r="G20" s="10" t="s">
        <v>406</v>
      </c>
    </row>
    <row r="21" ht="31.5" customHeight="1">
      <c r="A21" s="1" t="s">
        <v>407</v>
      </c>
      <c r="B21" s="1" t="s">
        <v>408</v>
      </c>
      <c r="C21" s="1" t="s">
        <v>409</v>
      </c>
      <c r="D21" s="12"/>
      <c r="E21" s="12"/>
      <c r="F21" s="11"/>
      <c r="G21" s="10" t="s">
        <v>410</v>
      </c>
    </row>
    <row r="22" ht="31.5" customHeight="1">
      <c r="A22" s="1" t="s">
        <v>411</v>
      </c>
      <c r="B22" s="1" t="s">
        <v>412</v>
      </c>
      <c r="C22" s="1" t="s">
        <v>413</v>
      </c>
      <c r="D22" s="12"/>
      <c r="E22" s="12"/>
      <c r="F22" s="11"/>
      <c r="G22" s="10" t="s">
        <v>414</v>
      </c>
    </row>
    <row r="23" ht="31.5" customHeight="1">
      <c r="A23" s="1" t="s">
        <v>415</v>
      </c>
      <c r="B23" s="1" t="s">
        <v>412</v>
      </c>
      <c r="C23" s="1" t="s">
        <v>416</v>
      </c>
      <c r="D23" s="12"/>
      <c r="E23" s="12"/>
      <c r="F23" s="11"/>
      <c r="G23" s="10" t="s">
        <v>417</v>
      </c>
    </row>
    <row r="24" ht="24.0" customHeight="1">
      <c r="A24" s="1"/>
      <c r="B24" s="1"/>
      <c r="C24" s="1"/>
      <c r="D24" s="1"/>
      <c r="E24" s="1"/>
      <c r="F24" s="1"/>
      <c r="G24" s="1"/>
    </row>
    <row r="25" ht="24.0" customHeight="1">
      <c r="A25" s="1" t="s">
        <v>418</v>
      </c>
      <c r="B25" s="1"/>
      <c r="C25" s="1"/>
      <c r="D25" s="1"/>
      <c r="E25" s="1"/>
      <c r="F25" s="1"/>
      <c r="G25" s="1"/>
    </row>
    <row r="26" ht="24.0" customHeight="1">
      <c r="A26" s="1"/>
      <c r="B26" s="1"/>
      <c r="C26" s="1"/>
      <c r="D26" s="1"/>
      <c r="E26" s="1"/>
      <c r="F26" s="1"/>
      <c r="G26" s="1"/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